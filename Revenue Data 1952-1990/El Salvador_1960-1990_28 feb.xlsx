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lchavesg_vols_utk_edu/Documents/RESEARCH/EL-SALVADOR/"/>
    </mc:Choice>
  </mc:AlternateContent>
  <xr:revisionPtr revIDLastSave="0" documentId="8_{1DFAB407-9254-4795-9373-21325EF0757C}" xr6:coauthVersionLast="47" xr6:coauthVersionMax="47" xr10:uidLastSave="{00000000-0000-0000-0000-000000000000}"/>
  <bookViews>
    <workbookView xWindow="28680" yWindow="-5700" windowWidth="29040" windowHeight="15720" xr2:uid="{00000000-000D-0000-FFFF-FFFF00000000}"/>
  </bookViews>
  <sheets>
    <sheet name="Ingresos" sheetId="1" r:id="rId1"/>
    <sheet name="Gastos" sheetId="2" r:id="rId2"/>
  </sheets>
  <externalReferences>
    <externalReference r:id="rId3"/>
    <externalReference r:id="rId4"/>
    <externalReference r:id="rId5"/>
  </externalReferences>
  <definedNames>
    <definedName name="__cdr2">#REF!</definedName>
    <definedName name="_cdr1">#REF!</definedName>
    <definedName name="_cdr2" localSheetId="0">#REF!</definedName>
    <definedName name="_Cdr7">'[1]Cdrs 1-2'!$A$1:$S$46</definedName>
    <definedName name="_Cdr8">'[1]Cdrs 1-2'!$A$69:$S$114</definedName>
    <definedName name="_Key1" hidden="1">#REF!</definedName>
    <definedName name="_Order1" hidden="1">0</definedName>
    <definedName name="_Sort" hidden="1">#REF!</definedName>
    <definedName name="a">[2]cd11!$A$1:$Q$24</definedName>
    <definedName name="cdr">[3]cd1!$A$1:$Q$68</definedName>
    <definedName name="Cuadro_N__1" localSheetId="0">#REF!</definedName>
    <definedName name="Cuadro_N__1">#REF!</definedName>
    <definedName name="Cuadro_N__10" localSheetId="0">#REF!</definedName>
    <definedName name="Cuadro_N__10">#REF!</definedName>
    <definedName name="Cuadro_N__11">#REF!</definedName>
    <definedName name="Cuadro_N__12" localSheetId="0">#REF!</definedName>
    <definedName name="Cuadro_N__12">#REF!</definedName>
    <definedName name="Cuadro_N__13" localSheetId="0">#REF!</definedName>
    <definedName name="Cuadro_N__13">#REF!</definedName>
    <definedName name="Cuadro_N__14">#REF!</definedName>
    <definedName name="Cuadro_N__19">#REF!</definedName>
    <definedName name="Cuadro_N__2">#REF!</definedName>
    <definedName name="Cuadro_N__20" localSheetId="0">#REF!</definedName>
    <definedName name="Cuadro_N__20">#REF!</definedName>
    <definedName name="Cuadro_N__21" localSheetId="0">#REF!</definedName>
    <definedName name="Cuadro_N__21">#REF!</definedName>
    <definedName name="Cuadro_N__22" localSheetId="0">#REF!</definedName>
    <definedName name="Cuadro_N__22">#REF!</definedName>
    <definedName name="Cuadro_N__23" localSheetId="0">#REF!</definedName>
    <definedName name="Cuadro_N__23">#REF!</definedName>
    <definedName name="Cuadro_N__24">#REF!</definedName>
    <definedName name="Cuadro_N__25">#REF!</definedName>
    <definedName name="Cuadro_N__26">#REF!</definedName>
    <definedName name="Cuadro_N__3">#REF!</definedName>
    <definedName name="Cuadro_N__30">#REF!</definedName>
    <definedName name="Cuadro_N__31">#REF!</definedName>
    <definedName name="Cuadro_N__32">#REF!</definedName>
    <definedName name="Cuadro_N__4" localSheetId="0">#REF!</definedName>
    <definedName name="Cuadro_N__4">#REF!</definedName>
    <definedName name="Cuadro_N__5" localSheetId="0">#REF!</definedName>
    <definedName name="Cuadro_N__5">#REF!</definedName>
    <definedName name="Cuadro_N__6">#REF!</definedName>
    <definedName name="Cuadro_N__7">#REF!</definedName>
    <definedName name="Cuadro_N__8" localSheetId="0">#REF!</definedName>
    <definedName name="Cuadro_N__8">#REF!</definedName>
    <definedName name="Cuadro_N__9" localSheetId="0">#REF!</definedName>
    <definedName name="Cuadro_N__9">#REF!</definedName>
    <definedName name="Cuadro_N_1">#REF!</definedName>
    <definedName name="cuadro1">#REF!</definedName>
    <definedName name="cuadro2">#REF!</definedName>
    <definedName name="NRO.__DE_CONTRATO">#REF!</definedName>
    <definedName name="REPRESENTANTE_SR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" i="1" l="1"/>
  <c r="N50" i="1"/>
  <c r="M50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B22" i="1"/>
  <c r="C125" i="1" l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B12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B123" i="1"/>
  <c r="B122" i="1"/>
  <c r="B121" i="1"/>
  <c r="B120" i="1"/>
  <c r="B119" i="1"/>
  <c r="B118" i="1"/>
  <c r="B117" i="1"/>
  <c r="B116" i="1"/>
  <c r="B115" i="1"/>
  <c r="C114" i="1"/>
  <c r="E114" i="1"/>
  <c r="G114" i="1"/>
  <c r="H114" i="1"/>
  <c r="I114" i="1"/>
  <c r="J114" i="1"/>
  <c r="L114" i="1"/>
  <c r="M114" i="1"/>
  <c r="N114" i="1"/>
  <c r="O114" i="1"/>
  <c r="P114" i="1"/>
  <c r="Q114" i="1"/>
  <c r="R114" i="1"/>
  <c r="S114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B108" i="1"/>
  <c r="B107" i="1"/>
  <c r="B106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B103" i="1"/>
  <c r="B10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B99" i="1"/>
  <c r="B98" i="1"/>
  <c r="B97" i="1"/>
  <c r="B96" i="1"/>
  <c r="B95" i="1"/>
  <c r="B94" i="1"/>
  <c r="B93" i="1"/>
  <c r="B92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B89" i="1"/>
  <c r="B88" i="1"/>
  <c r="B87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B84" i="1"/>
  <c r="B83" i="1"/>
  <c r="C80" i="1"/>
  <c r="E80" i="1"/>
  <c r="G80" i="1"/>
  <c r="H80" i="1"/>
  <c r="I80" i="1"/>
  <c r="J80" i="1"/>
  <c r="L80" i="1"/>
  <c r="P80" i="1"/>
  <c r="Q80" i="1"/>
  <c r="R80" i="1"/>
  <c r="C48" i="1" l="1"/>
  <c r="C112" i="1" s="1"/>
  <c r="E48" i="1"/>
  <c r="E112" i="1" s="1"/>
  <c r="G48" i="1"/>
  <c r="G112" i="1" s="1"/>
  <c r="H48" i="1"/>
  <c r="H112" i="1" s="1"/>
  <c r="I48" i="1"/>
  <c r="I112" i="1" s="1"/>
  <c r="J48" i="1"/>
  <c r="J112" i="1" s="1"/>
  <c r="L48" i="1"/>
  <c r="L112" i="1" s="1"/>
  <c r="M48" i="1"/>
  <c r="M112" i="1" s="1"/>
  <c r="N48" i="1"/>
  <c r="N112" i="1" s="1"/>
  <c r="O48" i="1"/>
  <c r="O112" i="1" s="1"/>
  <c r="P48" i="1"/>
  <c r="P112" i="1" s="1"/>
  <c r="Q48" i="1"/>
  <c r="Q112" i="1" s="1"/>
  <c r="R48" i="1"/>
  <c r="R112" i="1" s="1"/>
  <c r="S48" i="1"/>
  <c r="S112" i="1" s="1"/>
  <c r="P12" i="1" l="1"/>
  <c r="Q12" i="1"/>
  <c r="R12" i="1"/>
  <c r="L12" i="1"/>
  <c r="J12" i="1"/>
  <c r="I12" i="1"/>
  <c r="H12" i="1"/>
  <c r="G12" i="1"/>
  <c r="E12" i="1"/>
  <c r="C12" i="1"/>
  <c r="C76" i="1" l="1"/>
  <c r="C10" i="1"/>
  <c r="C74" i="1" s="1"/>
  <c r="G76" i="1"/>
  <c r="G10" i="1"/>
  <c r="G74" i="1" s="1"/>
  <c r="L76" i="1"/>
  <c r="L10" i="1"/>
  <c r="L74" i="1" s="1"/>
  <c r="R76" i="1"/>
  <c r="R10" i="1"/>
  <c r="R74" i="1" s="1"/>
  <c r="J76" i="1"/>
  <c r="J10" i="1"/>
  <c r="J74" i="1" s="1"/>
  <c r="H76" i="1"/>
  <c r="H10" i="1"/>
  <c r="H74" i="1" s="1"/>
  <c r="I76" i="1"/>
  <c r="I10" i="1"/>
  <c r="I74" i="1" s="1"/>
  <c r="E76" i="1"/>
  <c r="E10" i="1"/>
  <c r="E74" i="1" s="1"/>
  <c r="Q76" i="1"/>
  <c r="Q10" i="1"/>
  <c r="Q74" i="1" s="1"/>
  <c r="P76" i="1"/>
  <c r="P10" i="1"/>
  <c r="P74" i="1" s="1"/>
  <c r="D50" i="1"/>
  <c r="F50" i="1"/>
  <c r="K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B50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B8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C41" i="1"/>
  <c r="C105" i="1" s="1"/>
  <c r="D41" i="1"/>
  <c r="D105" i="1" s="1"/>
  <c r="E41" i="1"/>
  <c r="E105" i="1" s="1"/>
  <c r="F41" i="1"/>
  <c r="F105" i="1" s="1"/>
  <c r="G41" i="1"/>
  <c r="G105" i="1" s="1"/>
  <c r="H41" i="1"/>
  <c r="H105" i="1" s="1"/>
  <c r="I41" i="1"/>
  <c r="I105" i="1" s="1"/>
  <c r="J41" i="1"/>
  <c r="J105" i="1" s="1"/>
  <c r="K41" i="1"/>
  <c r="K105" i="1" s="1"/>
  <c r="L41" i="1"/>
  <c r="L105" i="1" s="1"/>
  <c r="M41" i="1"/>
  <c r="N41" i="1"/>
  <c r="N105" i="1" s="1"/>
  <c r="O41" i="1"/>
  <c r="O105" i="1" s="1"/>
  <c r="P41" i="1"/>
  <c r="P105" i="1" s="1"/>
  <c r="Q41" i="1"/>
  <c r="Q105" i="1" s="1"/>
  <c r="R41" i="1"/>
  <c r="R105" i="1" s="1"/>
  <c r="S41" i="1"/>
  <c r="S105" i="1" s="1"/>
  <c r="T41" i="1"/>
  <c r="T105" i="1" s="1"/>
  <c r="U41" i="1"/>
  <c r="U105" i="1" s="1"/>
  <c r="V41" i="1"/>
  <c r="V105" i="1" s="1"/>
  <c r="W41" i="1"/>
  <c r="W105" i="1" s="1"/>
  <c r="X41" i="1"/>
  <c r="X105" i="1" s="1"/>
  <c r="Y41" i="1"/>
  <c r="Y105" i="1" s="1"/>
  <c r="Z41" i="1"/>
  <c r="Z105" i="1" s="1"/>
  <c r="AA41" i="1"/>
  <c r="AA105" i="1" s="1"/>
  <c r="AB41" i="1"/>
  <c r="AB105" i="1" s="1"/>
  <c r="AC41" i="1"/>
  <c r="AC105" i="1" s="1"/>
  <c r="AD41" i="1"/>
  <c r="AD105" i="1" s="1"/>
  <c r="AE41" i="1"/>
  <c r="AE105" i="1" s="1"/>
  <c r="AF41" i="1"/>
  <c r="AF105" i="1" s="1"/>
  <c r="C18" i="1"/>
  <c r="C82" i="1" s="1"/>
  <c r="D18" i="1"/>
  <c r="E18" i="1"/>
  <c r="E82" i="1" s="1"/>
  <c r="F18" i="1"/>
  <c r="G18" i="1"/>
  <c r="G82" i="1" s="1"/>
  <c r="H18" i="1"/>
  <c r="H82" i="1" s="1"/>
  <c r="I18" i="1"/>
  <c r="I82" i="1" s="1"/>
  <c r="J18" i="1"/>
  <c r="J82" i="1" s="1"/>
  <c r="K18" i="1"/>
  <c r="L18" i="1"/>
  <c r="L82" i="1" s="1"/>
  <c r="M18" i="1"/>
  <c r="M82" i="1" s="1"/>
  <c r="N18" i="1"/>
  <c r="O18" i="1"/>
  <c r="P18" i="1"/>
  <c r="P82" i="1" s="1"/>
  <c r="Q18" i="1"/>
  <c r="Q82" i="1" s="1"/>
  <c r="R18" i="1"/>
  <c r="R82" i="1" s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B18" i="1"/>
  <c r="B82" i="1" s="1"/>
  <c r="B41" i="1"/>
  <c r="B105" i="1" s="1"/>
  <c r="B37" i="1"/>
  <c r="N82" i="1" l="1"/>
  <c r="N16" i="1"/>
  <c r="O82" i="1"/>
  <c r="O16" i="1"/>
  <c r="S82" i="1"/>
  <c r="M105" i="1"/>
  <c r="AD82" i="1"/>
  <c r="V82" i="1"/>
  <c r="F82" i="1"/>
  <c r="AD27" i="1"/>
  <c r="AD91" i="1" s="1"/>
  <c r="AD101" i="1"/>
  <c r="Z27" i="1"/>
  <c r="Z101" i="1"/>
  <c r="V27" i="1"/>
  <c r="V91" i="1" s="1"/>
  <c r="V101" i="1"/>
  <c r="R27" i="1"/>
  <c r="R91" i="1" s="1"/>
  <c r="R101" i="1"/>
  <c r="N27" i="1"/>
  <c r="N91" i="1" s="1"/>
  <c r="N101" i="1"/>
  <c r="J27" i="1"/>
  <c r="J91" i="1" s="1"/>
  <c r="J101" i="1"/>
  <c r="F27" i="1"/>
  <c r="F91" i="1" s="1"/>
  <c r="F101" i="1"/>
  <c r="AF114" i="1"/>
  <c r="AF48" i="1"/>
  <c r="AF112" i="1" s="1"/>
  <c r="AB114" i="1"/>
  <c r="AB48" i="1"/>
  <c r="AB112" i="1" s="1"/>
  <c r="X114" i="1"/>
  <c r="X48" i="1"/>
  <c r="X112" i="1" s="1"/>
  <c r="T114" i="1"/>
  <c r="T48" i="1"/>
  <c r="T112" i="1" s="1"/>
  <c r="Z82" i="1"/>
  <c r="AC82" i="1"/>
  <c r="Y82" i="1"/>
  <c r="U82" i="1"/>
  <c r="AC27" i="1"/>
  <c r="AC91" i="1" s="1"/>
  <c r="AC101" i="1"/>
  <c r="Y27" i="1"/>
  <c r="Y91" i="1" s="1"/>
  <c r="Y101" i="1"/>
  <c r="U27" i="1"/>
  <c r="U91" i="1" s="1"/>
  <c r="U101" i="1"/>
  <c r="Q27" i="1"/>
  <c r="Q91" i="1" s="1"/>
  <c r="Q101" i="1"/>
  <c r="M27" i="1"/>
  <c r="M91" i="1" s="1"/>
  <c r="M101" i="1"/>
  <c r="I27" i="1"/>
  <c r="I91" i="1" s="1"/>
  <c r="I101" i="1"/>
  <c r="E27" i="1"/>
  <c r="E91" i="1" s="1"/>
  <c r="E101" i="1"/>
  <c r="AE114" i="1"/>
  <c r="AE48" i="1"/>
  <c r="AE112" i="1" s="1"/>
  <c r="AA114" i="1"/>
  <c r="AA48" i="1"/>
  <c r="AA112" i="1" s="1"/>
  <c r="W114" i="1"/>
  <c r="W48" i="1"/>
  <c r="W112" i="1" s="1"/>
  <c r="K114" i="1"/>
  <c r="K48" i="1"/>
  <c r="K112" i="1" s="1"/>
  <c r="AB82" i="1"/>
  <c r="D82" i="1"/>
  <c r="AF27" i="1"/>
  <c r="AF101" i="1"/>
  <c r="AB27" i="1"/>
  <c r="AB91" i="1" s="1"/>
  <c r="AB101" i="1"/>
  <c r="X27" i="1"/>
  <c r="X101" i="1"/>
  <c r="T27" i="1"/>
  <c r="T91" i="1" s="1"/>
  <c r="T101" i="1"/>
  <c r="P27" i="1"/>
  <c r="P91" i="1" s="1"/>
  <c r="P101" i="1"/>
  <c r="L27" i="1"/>
  <c r="L91" i="1" s="1"/>
  <c r="L101" i="1"/>
  <c r="H27" i="1"/>
  <c r="H91" i="1" s="1"/>
  <c r="H101" i="1"/>
  <c r="D27" i="1"/>
  <c r="D91" i="1" s="1"/>
  <c r="D101" i="1"/>
  <c r="AD114" i="1"/>
  <c r="AD48" i="1"/>
  <c r="AD112" i="1" s="1"/>
  <c r="Z114" i="1"/>
  <c r="Z48" i="1"/>
  <c r="Z112" i="1" s="1"/>
  <c r="V114" i="1"/>
  <c r="V48" i="1"/>
  <c r="V112" i="1" s="1"/>
  <c r="F114" i="1"/>
  <c r="F48" i="1"/>
  <c r="F112" i="1" s="1"/>
  <c r="AF82" i="1"/>
  <c r="X82" i="1"/>
  <c r="T82" i="1"/>
  <c r="B27" i="1"/>
  <c r="B101" i="1"/>
  <c r="AE82" i="1"/>
  <c r="AA82" i="1"/>
  <c r="W82" i="1"/>
  <c r="K82" i="1"/>
  <c r="AE27" i="1"/>
  <c r="AE91" i="1" s="1"/>
  <c r="AE101" i="1"/>
  <c r="AA27" i="1"/>
  <c r="AA91" i="1" s="1"/>
  <c r="AA101" i="1"/>
  <c r="W27" i="1"/>
  <c r="W91" i="1" s="1"/>
  <c r="W101" i="1"/>
  <c r="S27" i="1"/>
  <c r="S101" i="1"/>
  <c r="O27" i="1"/>
  <c r="O91" i="1" s="1"/>
  <c r="O101" i="1"/>
  <c r="K27" i="1"/>
  <c r="K91" i="1" s="1"/>
  <c r="K101" i="1"/>
  <c r="G27" i="1"/>
  <c r="G91" i="1" s="1"/>
  <c r="G101" i="1"/>
  <c r="C27" i="1"/>
  <c r="C91" i="1" s="1"/>
  <c r="C101" i="1"/>
  <c r="AC114" i="1"/>
  <c r="AC48" i="1"/>
  <c r="AC112" i="1" s="1"/>
  <c r="Y114" i="1"/>
  <c r="Y48" i="1"/>
  <c r="Y112" i="1" s="1"/>
  <c r="U114" i="1"/>
  <c r="U48" i="1"/>
  <c r="U112" i="1" s="1"/>
  <c r="D114" i="1"/>
  <c r="D48" i="1"/>
  <c r="D112" i="1" s="1"/>
  <c r="B114" i="1"/>
  <c r="B48" i="1"/>
  <c r="B112" i="1" s="1"/>
  <c r="N80" i="1" l="1"/>
  <c r="N12" i="1"/>
  <c r="O12" i="1"/>
  <c r="O80" i="1"/>
  <c r="Z91" i="1"/>
  <c r="Z16" i="1"/>
  <c r="AF91" i="1"/>
  <c r="AF16" i="1"/>
  <c r="X91" i="1"/>
  <c r="X16" i="1"/>
  <c r="B91" i="1"/>
  <c r="B16" i="1"/>
  <c r="S91" i="1"/>
  <c r="S16" i="1"/>
  <c r="M16" i="1"/>
  <c r="M80" i="1" s="1"/>
  <c r="T16" i="1"/>
  <c r="T80" i="1" s="1"/>
  <c r="AA16" i="1"/>
  <c r="W16" i="1"/>
  <c r="AE16" i="1"/>
  <c r="T12" i="1"/>
  <c r="AF12" i="1"/>
  <c r="AF80" i="1"/>
  <c r="AB16" i="1"/>
  <c r="U16" i="1"/>
  <c r="AC16" i="1"/>
  <c r="V16" i="1"/>
  <c r="K16" i="1"/>
  <c r="X12" i="1"/>
  <c r="X80" i="1"/>
  <c r="D16" i="1"/>
  <c r="Y16" i="1"/>
  <c r="Z12" i="1"/>
  <c r="Z80" i="1"/>
  <c r="F16" i="1"/>
  <c r="AD16" i="1"/>
  <c r="B12" i="1"/>
  <c r="B80" i="1"/>
  <c r="N10" i="1" l="1"/>
  <c r="N74" i="1" s="1"/>
  <c r="N76" i="1"/>
  <c r="O10" i="1"/>
  <c r="O74" i="1" s="1"/>
  <c r="O76" i="1"/>
  <c r="S80" i="1"/>
  <c r="S12" i="1"/>
  <c r="M12" i="1"/>
  <c r="M76" i="1" s="1"/>
  <c r="Y12" i="1"/>
  <c r="Y80" i="1"/>
  <c r="K12" i="1"/>
  <c r="K80" i="1"/>
  <c r="AB12" i="1"/>
  <c r="AB80" i="1"/>
  <c r="T76" i="1"/>
  <c r="T10" i="1"/>
  <c r="T74" i="1" s="1"/>
  <c r="AD12" i="1"/>
  <c r="AD80" i="1"/>
  <c r="F12" i="1"/>
  <c r="F80" i="1"/>
  <c r="D80" i="1"/>
  <c r="D12" i="1"/>
  <c r="V12" i="1"/>
  <c r="V80" i="1"/>
  <c r="AE12" i="1"/>
  <c r="AE80" i="1"/>
  <c r="AC12" i="1"/>
  <c r="AC80" i="1"/>
  <c r="AF76" i="1"/>
  <c r="AF10" i="1"/>
  <c r="AF74" i="1" s="1"/>
  <c r="W12" i="1"/>
  <c r="W80" i="1"/>
  <c r="Z76" i="1"/>
  <c r="Z10" i="1"/>
  <c r="Z74" i="1" s="1"/>
  <c r="X76" i="1"/>
  <c r="X10" i="1"/>
  <c r="X74" i="1" s="1"/>
  <c r="U12" i="1"/>
  <c r="U80" i="1"/>
  <c r="AA12" i="1"/>
  <c r="AA80" i="1"/>
  <c r="B76" i="1"/>
  <c r="B10" i="1"/>
  <c r="B74" i="1" s="1"/>
  <c r="S10" i="1" l="1"/>
  <c r="S74" i="1" s="1"/>
  <c r="S76" i="1"/>
  <c r="M10" i="1"/>
  <c r="M74" i="1" s="1"/>
  <c r="AD76" i="1"/>
  <c r="AD10" i="1"/>
  <c r="AD74" i="1" s="1"/>
  <c r="AA76" i="1"/>
  <c r="AA10" i="1"/>
  <c r="AA74" i="1" s="1"/>
  <c r="W76" i="1"/>
  <c r="W10" i="1"/>
  <c r="W74" i="1" s="1"/>
  <c r="AC76" i="1"/>
  <c r="AC10" i="1"/>
  <c r="AC74" i="1" s="1"/>
  <c r="V76" i="1"/>
  <c r="V10" i="1"/>
  <c r="V74" i="1" s="1"/>
  <c r="F76" i="1"/>
  <c r="F10" i="1"/>
  <c r="F74" i="1" s="1"/>
  <c r="K76" i="1"/>
  <c r="K10" i="1"/>
  <c r="K74" i="1" s="1"/>
  <c r="D76" i="1"/>
  <c r="D10" i="1"/>
  <c r="D74" i="1" s="1"/>
  <c r="U76" i="1"/>
  <c r="U10" i="1"/>
  <c r="U74" i="1" s="1"/>
  <c r="AE76" i="1"/>
  <c r="AE10" i="1"/>
  <c r="AE74" i="1" s="1"/>
  <c r="AB76" i="1"/>
  <c r="AB10" i="1"/>
  <c r="AB74" i="1" s="1"/>
  <c r="Y76" i="1"/>
  <c r="Y10" i="1"/>
  <c r="Y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</author>
  </authors>
  <commentList>
    <comment ref="A6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AR:</t>
        </r>
        <r>
          <rPr>
            <sz val="9"/>
            <color indexed="81"/>
            <rFont val="Tahoma"/>
            <family val="2"/>
          </rPr>
          <t xml:space="preserve">
rubros 500, 700, 800</t>
        </r>
      </text>
    </comment>
  </commentList>
</comments>
</file>

<file path=xl/sharedStrings.xml><?xml version="1.0" encoding="utf-8"?>
<sst xmlns="http://schemas.openxmlformats.org/spreadsheetml/2006/main" count="103" uniqueCount="47">
  <si>
    <t>El Salvador</t>
  </si>
  <si>
    <t>Total</t>
  </si>
  <si>
    <t xml:space="preserve"> </t>
  </si>
  <si>
    <t xml:space="preserve">1. Totales </t>
  </si>
  <si>
    <t>Impuestos sobre la propiedad</t>
  </si>
  <si>
    <t>Impuestos sobre el comercio exterior</t>
  </si>
  <si>
    <t xml:space="preserve">Otros </t>
  </si>
  <si>
    <t>IV. Ingresos No Tributarios</t>
  </si>
  <si>
    <t>(En porcentajes del PIB)</t>
  </si>
  <si>
    <t xml:space="preserve">040---Impuestos Sobre la Renta y de Viabilidad </t>
  </si>
  <si>
    <t>060---Impuestos de Sucesiones y Donaciones</t>
  </si>
  <si>
    <t>030---Impuestos Sobre Artículos Manufacturados y de Consumo</t>
  </si>
  <si>
    <t>050---Especies Fiscales e Impuestos por Servicios</t>
  </si>
  <si>
    <t>070---Impuestos por Matrículas de Vehículos</t>
  </si>
  <si>
    <t xml:space="preserve">090---Otros Impuestos </t>
  </si>
  <si>
    <t>010---Derecho de Importación</t>
  </si>
  <si>
    <t>020---Derecho de Exportación</t>
  </si>
  <si>
    <t>100---VENTAS DE MERCADERIAS Y PRODUCTOS</t>
  </si>
  <si>
    <t>200---PRESTACIÓN DE SERVICIOS</t>
  </si>
  <si>
    <t>300---DERECHOS, LICENCIAS, CONCESIONES Y PERMISOS</t>
  </si>
  <si>
    <t>400---MULTAS Y COMISOS</t>
  </si>
  <si>
    <t>700---OTRAS RENTAS</t>
  </si>
  <si>
    <t>010---IMPUESTOS SOBRE LA RENTA</t>
  </si>
  <si>
    <t>020--Impuesto Sobre Patrimonio</t>
  </si>
  <si>
    <t>030---Impuestos Sobre Transferencia de Propiedades</t>
  </si>
  <si>
    <t>150---IMPUESTOS Y GRAVÁMENES SOBRE ACTIVIDADES PRODUCTIVAS Y COMERCIALES, ACTOS JURIDICOS Y TRANSACCIONES</t>
  </si>
  <si>
    <t>170---OTROS IMPUESTOS Y GRAVÁMENES DIVERSOS</t>
  </si>
  <si>
    <t>200---INGRESOS NO TRIBUTARIOS</t>
  </si>
  <si>
    <t>300---TRANSFERENCIAS CORRIENTES DEL SECTOR PRIVADO</t>
  </si>
  <si>
    <t>400---OTROS INGRESOS CORRIENTES</t>
  </si>
  <si>
    <t>(En millones de Colones)</t>
  </si>
  <si>
    <t>Impuestos sobre transacciones internas</t>
  </si>
  <si>
    <t>Imp. sobre la renta</t>
  </si>
  <si>
    <t>1-uso de servicio</t>
  </si>
  <si>
    <t>3- Timbres fiscales</t>
  </si>
  <si>
    <t>4- Otros impuestos y gravamenes</t>
  </si>
  <si>
    <t xml:space="preserve"> 2- No Tributarios y otros </t>
  </si>
  <si>
    <t>2-Consumo y uso de servicio (100---IMPUESTO SOBRE EL CONSUMO DE PRODUCTOS Y SERVICIOS )</t>
  </si>
  <si>
    <t>2. Ingresos Tributarios</t>
  </si>
  <si>
    <t>Total Ingresos Tributarios</t>
  </si>
  <si>
    <t>Ingresos No Tributarios y Otros Ingresos Corrientes</t>
  </si>
  <si>
    <t>Ingresos de Capital</t>
  </si>
  <si>
    <t>Total Ingresos No Tributarios</t>
  </si>
  <si>
    <t>Total General de Ingresos (Corrientes + Capital)</t>
  </si>
  <si>
    <t>Total Ingresos Corrientes (Tributarios + No Tributarios Corrientes)</t>
  </si>
  <si>
    <t>PIB (MILLONES DE COLONES)</t>
  </si>
  <si>
    <t>040---IMPUESTOS DE EMERGENCIA / Otros Ingresos Tributarios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</si>
</sst>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#,##0.0"/>
    <numFmt numFmtId="166" formatCode="0.0"/>
    <numFmt numFmtId="167" formatCode="#,##0.000000"/>
    <numFmt numFmtId="168" formatCode="0.0_ "/>
  </numFmts>
  <fonts count="31" x14ac:knownFonts="1">
    <font>
      <sz val="10"/>
      <name val="Arial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2"/>
      <color indexed="9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indexed="14"/>
      <name val="Arial"/>
      <family val="2"/>
    </font>
    <font>
      <sz val="12"/>
      <color indexed="63"/>
      <name val="Arial"/>
      <family val="2"/>
    </font>
    <font>
      <b/>
      <sz val="12"/>
      <color indexed="9"/>
      <name val="Arial"/>
      <family val="2"/>
    </font>
    <font>
      <i/>
      <sz val="12"/>
      <color rgb="FF0070C0"/>
      <name val="Arial"/>
      <family val="2"/>
    </font>
    <font>
      <sz val="10"/>
      <color rgb="FF0070C0"/>
      <name val="Arial"/>
      <family val="2"/>
    </font>
    <font>
      <b/>
      <sz val="12"/>
      <color rgb="FF000066"/>
      <name val="Arial"/>
      <family val="2"/>
    </font>
    <font>
      <b/>
      <sz val="10"/>
      <name val="Arial"/>
      <family val="2"/>
    </font>
    <font>
      <i/>
      <sz val="10"/>
      <color rgb="FF0070C0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b/>
      <sz val="10"/>
      <color rgb="FF000066"/>
      <name val="Arial"/>
      <family val="2"/>
    </font>
    <font>
      <sz val="10"/>
      <name val="Tahoma"/>
      <family val="2"/>
    </font>
    <font>
      <b/>
      <sz val="8"/>
      <name val="Arial"/>
      <family val="2"/>
    </font>
    <font>
      <sz val="12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i/>
      <sz val="12"/>
      <name val="Arial"/>
      <family val="2"/>
    </font>
    <font>
      <sz val="14"/>
      <color rgb="FFFFFFFF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0090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22"/>
      </right>
      <top/>
      <bottom/>
      <diagonal/>
    </border>
  </borders>
  <cellStyleXfs count="740">
    <xf numFmtId="0" fontId="0" fillId="0" borderId="0" applyNumberFormat="0" applyFill="0" applyBorder="0" applyAlignment="0" applyProtection="0"/>
    <xf numFmtId="39" fontId="3" fillId="0" borderId="0"/>
    <xf numFmtId="0" fontId="5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8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72">
    <xf numFmtId="0" fontId="0" fillId="0" borderId="0" xfId="0"/>
    <xf numFmtId="39" fontId="4" fillId="2" borderId="0" xfId="1" applyFont="1" applyFill="1" applyAlignment="1">
      <alignment horizontal="left"/>
    </xf>
    <xf numFmtId="39" fontId="4" fillId="2" borderId="0" xfId="1" applyFont="1" applyFill="1" applyAlignment="1">
      <alignment horizontal="right"/>
    </xf>
    <xf numFmtId="39" fontId="4" fillId="2" borderId="0" xfId="1" applyFont="1" applyFill="1" applyAlignment="1">
      <alignment horizontal="center"/>
    </xf>
    <xf numFmtId="164" fontId="4" fillId="2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0" fillId="3" borderId="0" xfId="0" applyFill="1"/>
    <xf numFmtId="165" fontId="6" fillId="0" borderId="0" xfId="0" applyNumberFormat="1" applyFont="1" applyFill="1"/>
    <xf numFmtId="0" fontId="6" fillId="0" borderId="0" xfId="0" applyFont="1" applyFill="1"/>
    <xf numFmtId="165" fontId="8" fillId="0" borderId="0" xfId="0" applyNumberFormat="1" applyFont="1" applyAlignment="1">
      <alignment horizontal="right"/>
    </xf>
    <xf numFmtId="0" fontId="7" fillId="5" borderId="0" xfId="2" applyFont="1" applyFill="1"/>
    <xf numFmtId="0" fontId="9" fillId="3" borderId="0" xfId="2" applyFont="1" applyFill="1"/>
    <xf numFmtId="0" fontId="8" fillId="0" borderId="0" xfId="0" applyFont="1"/>
    <xf numFmtId="0" fontId="10" fillId="0" borderId="0" xfId="0" applyFont="1" applyAlignment="1">
      <alignment horizontal="right"/>
    </xf>
    <xf numFmtId="0" fontId="11" fillId="6" borderId="0" xfId="2" applyFont="1" applyFill="1"/>
    <xf numFmtId="0" fontId="12" fillId="6" borderId="1" xfId="2" applyFont="1" applyFill="1" applyBorder="1" applyAlignment="1">
      <alignment horizontal="right"/>
    </xf>
    <xf numFmtId="0" fontId="12" fillId="6" borderId="1" xfId="2" applyFont="1" applyFill="1" applyBorder="1"/>
    <xf numFmtId="0" fontId="6" fillId="3" borderId="0" xfId="2" applyFont="1" applyFill="1" applyAlignment="1">
      <alignment horizontal="left"/>
    </xf>
    <xf numFmtId="165" fontId="6" fillId="0" borderId="0" xfId="0" applyNumberFormat="1" applyFont="1" applyFill="1" applyAlignment="1">
      <alignment horizontal="right"/>
    </xf>
    <xf numFmtId="0" fontId="6" fillId="0" borderId="0" xfId="0" applyFont="1"/>
    <xf numFmtId="165" fontId="13" fillId="3" borderId="0" xfId="0" applyNumberFormat="1" applyFont="1" applyFill="1"/>
    <xf numFmtId="0" fontId="6" fillId="0" borderId="0" xfId="0" applyFont="1" applyAlignment="1">
      <alignment horizontal="right"/>
    </xf>
    <xf numFmtId="0" fontId="9" fillId="0" borderId="0" xfId="2" applyFont="1"/>
    <xf numFmtId="165" fontId="8" fillId="0" borderId="0" xfId="0" applyNumberFormat="1" applyFont="1"/>
    <xf numFmtId="165" fontId="14" fillId="0" borderId="0" xfId="0" applyNumberFormat="1" applyFont="1"/>
    <xf numFmtId="165" fontId="11" fillId="6" borderId="0" xfId="2" applyNumberFormat="1" applyFont="1" applyFill="1"/>
    <xf numFmtId="165" fontId="12" fillId="6" borderId="1" xfId="2" applyNumberFormat="1" applyFont="1" applyFill="1" applyBorder="1" applyAlignment="1">
      <alignment horizontal="right"/>
    </xf>
    <xf numFmtId="165" fontId="12" fillId="6" borderId="1" xfId="2" applyNumberFormat="1" applyFont="1" applyFill="1" applyBorder="1"/>
    <xf numFmtId="0" fontId="9" fillId="3" borderId="0" xfId="2" applyFont="1" applyFill="1" applyAlignment="1">
      <alignment horizontal="left"/>
    </xf>
    <xf numFmtId="165" fontId="0" fillId="3" borderId="0" xfId="0" applyNumberFormat="1" applyFill="1" applyAlignment="1">
      <alignment horizontal="right"/>
    </xf>
    <xf numFmtId="165" fontId="0" fillId="3" borderId="0" xfId="0" applyNumberFormat="1" applyFill="1"/>
    <xf numFmtId="165" fontId="8" fillId="3" borderId="0" xfId="0" applyNumberFormat="1" applyFont="1" applyFill="1"/>
    <xf numFmtId="165" fontId="14" fillId="3" borderId="0" xfId="0" applyNumberFormat="1" applyFont="1" applyFill="1"/>
    <xf numFmtId="0" fontId="15" fillId="4" borderId="0" xfId="2" applyFont="1" applyFill="1" applyAlignment="1">
      <alignment horizontal="left"/>
    </xf>
    <xf numFmtId="165" fontId="15" fillId="3" borderId="0" xfId="0" applyNumberFormat="1" applyFont="1" applyFill="1" applyAlignment="1">
      <alignment horizontal="right"/>
    </xf>
    <xf numFmtId="0" fontId="16" fillId="0" borderId="0" xfId="0" applyFont="1"/>
    <xf numFmtId="0" fontId="6" fillId="3" borderId="0" xfId="0" applyFont="1" applyFill="1"/>
    <xf numFmtId="165" fontId="17" fillId="3" borderId="0" xfId="0" applyNumberFormat="1" applyFont="1" applyFill="1"/>
    <xf numFmtId="165" fontId="15" fillId="4" borderId="0" xfId="2" applyNumberFormat="1" applyFont="1" applyFill="1" applyAlignment="1">
      <alignment horizontal="right"/>
    </xf>
    <xf numFmtId="165" fontId="6" fillId="3" borderId="0" xfId="0" applyNumberFormat="1" applyFont="1" applyFill="1"/>
    <xf numFmtId="165" fontId="6" fillId="3" borderId="0" xfId="0" applyNumberFormat="1" applyFont="1" applyFill="1" applyAlignment="1">
      <alignment horizontal="right"/>
    </xf>
    <xf numFmtId="165" fontId="16" fillId="3" borderId="0" xfId="0" applyNumberFormat="1" applyFont="1" applyFill="1"/>
    <xf numFmtId="0" fontId="6" fillId="3" borderId="0" xfId="2" quotePrefix="1" applyFont="1" applyFill="1" applyAlignment="1">
      <alignment horizontal="left"/>
    </xf>
    <xf numFmtId="165" fontId="7" fillId="5" borderId="0" xfId="2" applyNumberFormat="1" applyFont="1" applyFill="1"/>
    <xf numFmtId="0" fontId="6" fillId="0" borderId="0" xfId="2" applyFont="1" applyAlignment="1">
      <alignment horizontal="left"/>
    </xf>
    <xf numFmtId="165" fontId="6" fillId="3" borderId="0" xfId="2" quotePrefix="1" applyNumberFormat="1" applyFont="1" applyFill="1" applyAlignment="1">
      <alignment horizontal="left"/>
    </xf>
    <xf numFmtId="165" fontId="6" fillId="0" borderId="0" xfId="2" applyNumberFormat="1" applyFont="1" applyAlignment="1">
      <alignment horizontal="left"/>
    </xf>
    <xf numFmtId="0" fontId="0" fillId="0" borderId="0" xfId="0" applyAlignment="1">
      <alignment horizontal="right"/>
    </xf>
    <xf numFmtId="0" fontId="20" fillId="0" borderId="0" xfId="0" applyFont="1"/>
    <xf numFmtId="165" fontId="23" fillId="3" borderId="0" xfId="0" applyNumberFormat="1" applyFont="1" applyFill="1"/>
    <xf numFmtId="165" fontId="18" fillId="3" borderId="0" xfId="0" applyNumberFormat="1" applyFont="1" applyFill="1" applyAlignment="1">
      <alignment horizontal="right"/>
    </xf>
    <xf numFmtId="4" fontId="0" fillId="3" borderId="0" xfId="0" applyNumberFormat="1" applyFill="1"/>
    <xf numFmtId="167" fontId="0" fillId="3" borderId="0" xfId="0" applyNumberFormat="1" applyFill="1"/>
    <xf numFmtId="165" fontId="8" fillId="0" borderId="0" xfId="0" applyNumberFormat="1" applyFont="1" applyAlignment="1">
      <alignment horizontal="center"/>
    </xf>
    <xf numFmtId="0" fontId="6" fillId="3" borderId="0" xfId="0" quotePrefix="1" applyFont="1" applyFill="1"/>
    <xf numFmtId="39" fontId="27" fillId="7" borderId="0" xfId="0" applyNumberFormat="1" applyFont="1" applyFill="1" applyAlignment="1">
      <alignment horizontal="left"/>
    </xf>
    <xf numFmtId="168" fontId="6" fillId="3" borderId="0" xfId="0" applyNumberFormat="1" applyFont="1" applyFill="1"/>
    <xf numFmtId="166" fontId="6" fillId="0" borderId="0" xfId="0" applyNumberFormat="1" applyFont="1"/>
    <xf numFmtId="0" fontId="28" fillId="0" borderId="0" xfId="739"/>
    <xf numFmtId="0" fontId="28" fillId="3" borderId="0" xfId="739" applyFill="1"/>
    <xf numFmtId="0" fontId="12" fillId="6" borderId="0" xfId="2" applyFont="1" applyFill="1"/>
    <xf numFmtId="165" fontId="12" fillId="6" borderId="0" xfId="2" applyNumberFormat="1" applyFont="1" applyFill="1"/>
    <xf numFmtId="0" fontId="23" fillId="3" borderId="0" xfId="0" applyFont="1" applyFill="1"/>
    <xf numFmtId="166" fontId="28" fillId="0" borderId="0" xfId="739" applyNumberFormat="1"/>
    <xf numFmtId="165" fontId="23" fillId="0" borderId="0" xfId="0" applyNumberFormat="1" applyFont="1" applyFill="1" applyAlignment="1">
      <alignment horizontal="right"/>
    </xf>
    <xf numFmtId="0" fontId="19" fillId="3" borderId="0" xfId="0" applyFont="1" applyFill="1"/>
    <xf numFmtId="0" fontId="26" fillId="4" borderId="0" xfId="2" applyFont="1" applyFill="1" applyAlignment="1">
      <alignment horizontal="left"/>
    </xf>
    <xf numFmtId="165" fontId="26" fillId="3" borderId="0" xfId="0" applyNumberFormat="1" applyFont="1" applyFill="1" applyAlignment="1">
      <alignment horizontal="right"/>
    </xf>
    <xf numFmtId="165" fontId="6" fillId="4" borderId="0" xfId="2" applyNumberFormat="1" applyFont="1" applyFill="1" applyAlignment="1">
      <alignment horizontal="right"/>
    </xf>
    <xf numFmtId="165" fontId="26" fillId="4" borderId="0" xfId="2" applyNumberFormat="1" applyFont="1" applyFill="1" applyAlignment="1">
      <alignment horizontal="right"/>
    </xf>
    <xf numFmtId="0" fontId="0" fillId="8" borderId="0" xfId="0" applyFill="1"/>
  </cellXfs>
  <cellStyles count="740">
    <cellStyle name="ANCLAS,REZONES Y SUS PARTES,DE FUNDICION,DE HIERRO O DE ACERO" xfId="3" xr:uid="{00000000-0005-0000-0000-000000000000}"/>
    <cellStyle name="ANCLAS,REZONES Y SUS PARTES,DE FUNDICION,DE HIERRO O DE ACERO 2" xfId="5" xr:uid="{00000000-0005-0000-0000-000001000000}"/>
    <cellStyle name="ANCLAS,REZONES Y SUS PARTES,DE FUNDICION,DE HIERRO O DE ACERO 3" xfId="6" xr:uid="{00000000-0005-0000-0000-000002000000}"/>
    <cellStyle name="ANCLAS,REZONES Y SUS PARTES,DE FUNDICION,DE HIERRO O DE ACERO_Observatorio 2" xfId="7" xr:uid="{00000000-0005-0000-0000-000003000000}"/>
    <cellStyle name="Comma 2" xfId="8" xr:uid="{00000000-0005-0000-0000-000004000000}"/>
    <cellStyle name="Euro" xfId="9" xr:uid="{00000000-0005-0000-0000-000005000000}"/>
    <cellStyle name="Euro 2" xfId="10" xr:uid="{00000000-0005-0000-0000-000006000000}"/>
    <cellStyle name="Euro 3" xfId="11" xr:uid="{00000000-0005-0000-0000-000007000000}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Header" xfId="12" xr:uid="{00000000-0005-0000-0000-000008000000}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/>
    <cellStyle name="Millares 2" xfId="13" xr:uid="{00000000-0005-0000-0000-0000D8020000}"/>
    <cellStyle name="Millares 2 2" xfId="14" xr:uid="{00000000-0005-0000-0000-0000D9020000}"/>
    <cellStyle name="Normal" xfId="0" builtinId="0"/>
    <cellStyle name="Normal 2" xfId="15" xr:uid="{00000000-0005-0000-0000-0000DB020000}"/>
    <cellStyle name="Normal 2 2" xfId="4" xr:uid="{00000000-0005-0000-0000-0000DC020000}"/>
    <cellStyle name="Normal 2 2 2" xfId="16" xr:uid="{00000000-0005-0000-0000-0000DD020000}"/>
    <cellStyle name="Normal 2 2 3" xfId="17" xr:uid="{00000000-0005-0000-0000-0000DE020000}"/>
    <cellStyle name="Normal 2 3" xfId="18" xr:uid="{00000000-0005-0000-0000-0000DF020000}"/>
    <cellStyle name="Normal 3" xfId="50" xr:uid="{00000000-0005-0000-0000-0000E0020000}"/>
    <cellStyle name="Normal 9" xfId="19" xr:uid="{00000000-0005-0000-0000-0000E1020000}"/>
    <cellStyle name="Normal_Cuadros 9-13" xfId="1" xr:uid="{00000000-0005-0000-0000-0000E2020000}"/>
    <cellStyle name="Normal_resu-2-com.ext" xfId="2" xr:uid="{00000000-0005-0000-0000-0000E3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N_NV_INGCORR02propinic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T_jun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T_05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s 1-2"/>
      <sheetName val="prog_2000-trim"/>
      <sheetName val="2007 (GF)"/>
    </sheetNames>
    <sheetDataSet>
      <sheetData sheetId="0" refreshError="1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2007 (G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Cuadro N° 11</v>
          </cell>
        </row>
      </sheetData>
      <sheetData sheetId="10" refreshError="1">
        <row r="1">
          <cell r="A1" t="str">
            <v>Cuadro N° 11</v>
          </cell>
        </row>
        <row r="2">
          <cell r="A2" t="str">
            <v>INGRESOS RECAUDADOS POR LA SUNAT - TRIBUTOS ADUANEROS: 2002 - 2003</v>
          </cell>
        </row>
        <row r="3">
          <cell r="A3" t="str">
            <v>(En Millones de Nuevos Soles)</v>
          </cell>
        </row>
        <row r="5">
          <cell r="C5">
            <v>2002</v>
          </cell>
          <cell r="K5">
            <v>2003</v>
          </cell>
          <cell r="Q5" t="str">
            <v xml:space="preserve">      Acumulado al</v>
          </cell>
        </row>
        <row r="6">
          <cell r="C6" t="str">
            <v>JUN.</v>
          </cell>
          <cell r="D6" t="str">
            <v>JUL.</v>
          </cell>
          <cell r="E6" t="str">
            <v>AGO.</v>
          </cell>
          <cell r="F6" t="str">
            <v>SET.</v>
          </cell>
          <cell r="G6" t="str">
            <v>OCT.</v>
          </cell>
          <cell r="H6" t="str">
            <v>NOV.</v>
          </cell>
          <cell r="I6" t="str">
            <v>DIC.</v>
          </cell>
          <cell r="J6" t="str">
            <v>TOTAL</v>
          </cell>
          <cell r="K6" t="str">
            <v>ENE.</v>
          </cell>
          <cell r="L6" t="str">
            <v>FEB.</v>
          </cell>
          <cell r="M6" t="str">
            <v>MAR.</v>
          </cell>
          <cell r="N6" t="str">
            <v>ABR.</v>
          </cell>
          <cell r="O6" t="str">
            <v>MAY.</v>
          </cell>
          <cell r="P6" t="str">
            <v>JUN.</v>
          </cell>
          <cell r="Q6" t="str">
            <v xml:space="preserve">       mes de junio</v>
          </cell>
        </row>
        <row r="7">
          <cell r="Q7" t="str">
            <v xml:space="preserve">      2002</v>
          </cell>
        </row>
        <row r="8">
          <cell r="A8" t="str">
            <v xml:space="preserve">Ingresos recaudados por la SUNAT - </v>
          </cell>
        </row>
        <row r="9">
          <cell r="A9" t="str">
            <v>Tributos Aduaneros</v>
          </cell>
          <cell r="C9">
            <v>629.94276772223202</v>
          </cell>
          <cell r="D9">
            <v>775.10060498031476</v>
          </cell>
          <cell r="E9">
            <v>738.45253962459651</v>
          </cell>
          <cell r="F9">
            <v>712.18880663639379</v>
          </cell>
          <cell r="G9">
            <v>720.99765913263161</v>
          </cell>
          <cell r="H9">
            <v>756.692915147588</v>
          </cell>
          <cell r="I9">
            <v>695.85780029610191</v>
          </cell>
          <cell r="J9">
            <v>8385.0083416164325</v>
          </cell>
          <cell r="K9">
            <v>772.66030748649712</v>
          </cell>
          <cell r="L9">
            <v>646.39078391799239</v>
          </cell>
          <cell r="M9">
            <v>834.66974598696379</v>
          </cell>
          <cell r="N9">
            <v>738.55619638361566</v>
          </cell>
          <cell r="O9">
            <v>671.96430728922371</v>
          </cell>
          <cell r="P9">
            <v>784.89334283255107</v>
          </cell>
          <cell r="Q9">
            <v>3985.7180157988073</v>
          </cell>
        </row>
        <row r="11">
          <cell r="B11" t="str">
            <v>Impuestos a la Importación</v>
          </cell>
          <cell r="C11">
            <v>182.89609569765278</v>
          </cell>
          <cell r="D11">
            <v>219.54859936581371</v>
          </cell>
          <cell r="E11">
            <v>224.58290101397725</v>
          </cell>
          <cell r="F11">
            <v>215.46636244922166</v>
          </cell>
          <cell r="G11">
            <v>217.33054712323946</v>
          </cell>
          <cell r="H11">
            <v>215.53023065665144</v>
          </cell>
          <cell r="I11">
            <v>210.97284455152507</v>
          </cell>
          <cell r="J11">
            <v>2488.719263317068</v>
          </cell>
          <cell r="K11">
            <v>209.8267527331208</v>
          </cell>
          <cell r="L11">
            <v>184.37926672993785</v>
          </cell>
          <cell r="M11">
            <v>230.09583505196022</v>
          </cell>
          <cell r="N11">
            <v>212.25103111922638</v>
          </cell>
          <cell r="O11">
            <v>203.31786615157432</v>
          </cell>
          <cell r="P11">
            <v>206.86306847676153</v>
          </cell>
          <cell r="Q11">
            <v>1185.2877781566394</v>
          </cell>
        </row>
        <row r="12">
          <cell r="B12" t="str">
            <v xml:space="preserve">Impuesto General a las Ventas </v>
          </cell>
          <cell r="C12">
            <v>375.3745279376601</v>
          </cell>
          <cell r="D12">
            <v>457.96122690008701</v>
          </cell>
          <cell r="E12">
            <v>448.577717238709</v>
          </cell>
          <cell r="F12">
            <v>444.38669483618378</v>
          </cell>
          <cell r="G12">
            <v>452.76614202061842</v>
          </cell>
          <cell r="H12">
            <v>460.12928559991065</v>
          </cell>
          <cell r="I12">
            <v>460.01639726229735</v>
          </cell>
          <cell r="J12">
            <v>5110.5252498026821</v>
          </cell>
          <cell r="K12">
            <v>479.85289582536097</v>
          </cell>
          <cell r="L12">
            <v>395.52657000892339</v>
          </cell>
          <cell r="M12">
            <v>494.59975258692708</v>
          </cell>
          <cell r="N12">
            <v>449.09916957737153</v>
          </cell>
          <cell r="O12">
            <v>425.45608984295387</v>
          </cell>
          <cell r="P12">
            <v>451.3362387529408</v>
          </cell>
          <cell r="Q12">
            <v>2386.6877859448755</v>
          </cell>
        </row>
        <row r="13">
          <cell r="B13" t="str">
            <v>Impuesto Selectivo al Consumo</v>
          </cell>
          <cell r="C13">
            <v>69.151223642492752</v>
          </cell>
          <cell r="D13">
            <v>94.720741978115697</v>
          </cell>
          <cell r="E13">
            <v>61.560658911393041</v>
          </cell>
          <cell r="F13">
            <v>49.752023685823708</v>
          </cell>
          <cell r="G13">
            <v>48.053045559583865</v>
          </cell>
          <cell r="H13">
            <v>74.205111265740598</v>
          </cell>
          <cell r="I13">
            <v>21.957996421336553</v>
          </cell>
          <cell r="J13">
            <v>739.53815298925508</v>
          </cell>
          <cell r="K13">
            <v>79.719352520179896</v>
          </cell>
          <cell r="L13">
            <v>62.617565015464223</v>
          </cell>
          <cell r="M13">
            <v>105.74771894799095</v>
          </cell>
          <cell r="N13">
            <v>73.506119115711229</v>
          </cell>
          <cell r="O13">
            <v>36.474584215324313</v>
          </cell>
          <cell r="P13">
            <v>123.83370383581182</v>
          </cell>
          <cell r="Q13">
            <v>389.28857516726157</v>
          </cell>
        </row>
        <row r="14">
          <cell r="B14" t="str">
            <v xml:space="preserve">    - Combustibles</v>
          </cell>
          <cell r="C14">
            <v>61.634850999999998</v>
          </cell>
          <cell r="D14">
            <v>84.043464999999998</v>
          </cell>
          <cell r="E14">
            <v>53.659882000000003</v>
          </cell>
          <cell r="F14">
            <v>42.054417999999998</v>
          </cell>
          <cell r="G14">
            <v>37.287551000000001</v>
          </cell>
          <cell r="H14">
            <v>64.462941999999998</v>
          </cell>
          <cell r="I14">
            <v>9.6753479999999996</v>
          </cell>
          <cell r="J14">
            <v>631.70406299999991</v>
          </cell>
          <cell r="K14">
            <v>71.173750983679994</v>
          </cell>
          <cell r="L14">
            <v>55.269252897720001</v>
          </cell>
          <cell r="M14">
            <v>97.617101727960005</v>
          </cell>
          <cell r="N14">
            <v>65.53348901036</v>
          </cell>
          <cell r="O14">
            <v>26.429073840000001</v>
          </cell>
          <cell r="P14">
            <v>115.37541335705001</v>
          </cell>
          <cell r="Q14">
            <v>340.52045699999996</v>
          </cell>
        </row>
        <row r="15">
          <cell r="B15" t="str">
            <v xml:space="preserve">    - Otros     1/</v>
          </cell>
          <cell r="C15">
            <v>7.5163726424927546</v>
          </cell>
          <cell r="D15">
            <v>10.6772769781157</v>
          </cell>
          <cell r="E15">
            <v>7.9007769113930379</v>
          </cell>
          <cell r="F15">
            <v>7.6976056858237101</v>
          </cell>
          <cell r="G15">
            <v>10.765494559583864</v>
          </cell>
          <cell r="H15">
            <v>9.7421692657405998</v>
          </cell>
          <cell r="I15">
            <v>12.282648421336553</v>
          </cell>
          <cell r="J15">
            <v>107.83408998925501</v>
          </cell>
          <cell r="K15">
            <v>8.5456015364999018</v>
          </cell>
          <cell r="L15">
            <v>7.3483121177442214</v>
          </cell>
          <cell r="M15">
            <v>8.1306172200309419</v>
          </cell>
          <cell r="N15">
            <v>7.9726301053512287</v>
          </cell>
          <cell r="O15">
            <v>10.045510375324312</v>
          </cell>
          <cell r="P15">
            <v>8.4582904787618105</v>
          </cell>
          <cell r="Q15">
            <v>48.768118167261555</v>
          </cell>
        </row>
        <row r="16">
          <cell r="B16" t="str">
            <v>Otros     2/</v>
          </cell>
          <cell r="C16">
            <v>2.5209204444264142</v>
          </cell>
          <cell r="D16">
            <v>2.8700367362982839</v>
          </cell>
          <cell r="E16">
            <v>3.7312624605172005</v>
          </cell>
          <cell r="F16">
            <v>2.583725665164724</v>
          </cell>
          <cell r="G16">
            <v>2.8479244291897956</v>
          </cell>
          <cell r="H16">
            <v>6.8282876252854141</v>
          </cell>
          <cell r="I16">
            <v>2.9105620609429246</v>
          </cell>
          <cell r="J16">
            <v>46.225675507429372</v>
          </cell>
          <cell r="K16">
            <v>3.2613064078355452</v>
          </cell>
          <cell r="L16">
            <v>3.8673821636668517</v>
          </cell>
          <cell r="M16">
            <v>4.2264394000854519</v>
          </cell>
          <cell r="N16">
            <v>3.6998765713064823</v>
          </cell>
          <cell r="O16">
            <v>6.7157670793711954</v>
          </cell>
          <cell r="P16">
            <v>2.8603317670370139</v>
          </cell>
          <cell r="Q16">
            <v>24.453876530031032</v>
          </cell>
        </row>
        <row r="19">
          <cell r="A19" t="str">
            <v>1/ Considera los bienes importados afectos al Impuesto Selectivo al Consumo, excepto los combustibles.</v>
          </cell>
        </row>
        <row r="20">
          <cell r="A20" t="str">
            <v>2/ Incluye intereses, recargos, infracción de leyes tributarias, tributos derogados y otros conceptos aduaneros.</v>
          </cell>
        </row>
        <row r="23">
          <cell r="A23" t="str">
            <v>Fuente:  Banco de la Nación</v>
          </cell>
        </row>
        <row r="24">
          <cell r="A24" t="str">
            <v>Elaboración: Intendencia Nacional de Estudios Tributarios y Planeamiento de la SUNAT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 refreshError="1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28"/>
  <sheetViews>
    <sheetView showGridLines="0" tabSelected="1" zoomScale="70" zoomScaleNormal="70"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A46" sqref="A46"/>
    </sheetView>
  </sheetViews>
  <sheetFormatPr defaultColWidth="11.42578125" defaultRowHeight="12.75" x14ac:dyDescent="0.2"/>
  <cols>
    <col min="1" max="1" width="93.7109375" customWidth="1"/>
    <col min="2" max="3" width="11.7109375" customWidth="1"/>
    <col min="4" max="4" width="13.42578125" customWidth="1"/>
    <col min="5" max="8" width="11.7109375" customWidth="1"/>
    <col min="9" max="9" width="12" customWidth="1"/>
    <col min="10" max="10" width="12.85546875" customWidth="1"/>
    <col min="11" max="11" width="13.42578125" customWidth="1"/>
    <col min="12" max="13" width="11.7109375" bestFit="1" customWidth="1"/>
    <col min="14" max="16" width="11.7109375" style="48" bestFit="1" customWidth="1"/>
    <col min="17" max="17" width="11.85546875" style="48" customWidth="1"/>
    <col min="18" max="18" width="11.28515625" customWidth="1"/>
    <col min="19" max="21" width="13.42578125" customWidth="1"/>
    <col min="22" max="22" width="11.7109375" bestFit="1" customWidth="1"/>
  </cols>
  <sheetData>
    <row r="1" spans="1:3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4" ht="18" x14ac:dyDescent="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4" ht="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4" ht="18" x14ac:dyDescent="0.25">
      <c r="A4" s="3"/>
      <c r="B4" s="4">
        <v>1960</v>
      </c>
      <c r="C4" s="4">
        <v>1961</v>
      </c>
      <c r="D4" s="4">
        <v>1962</v>
      </c>
      <c r="E4" s="4">
        <v>1963</v>
      </c>
      <c r="F4" s="4">
        <v>1964</v>
      </c>
      <c r="G4" s="4">
        <v>1965</v>
      </c>
      <c r="H4" s="4">
        <v>1966</v>
      </c>
      <c r="I4" s="4">
        <v>1967</v>
      </c>
      <c r="J4" s="4">
        <v>1968</v>
      </c>
      <c r="K4" s="4">
        <v>1969</v>
      </c>
      <c r="L4" s="4">
        <v>1970</v>
      </c>
      <c r="M4" s="4">
        <v>1971</v>
      </c>
      <c r="N4" s="4">
        <v>1972</v>
      </c>
      <c r="O4" s="4">
        <v>1973</v>
      </c>
      <c r="P4" s="4">
        <v>1974</v>
      </c>
      <c r="Q4" s="4">
        <v>1975</v>
      </c>
      <c r="R4" s="4">
        <v>1976</v>
      </c>
      <c r="S4" s="4">
        <v>1977</v>
      </c>
      <c r="T4" s="4">
        <v>1978</v>
      </c>
      <c r="U4" s="4">
        <v>1979</v>
      </c>
      <c r="V4" s="4">
        <v>1980</v>
      </c>
      <c r="W4" s="4">
        <v>1981</v>
      </c>
      <c r="X4" s="4">
        <v>1982</v>
      </c>
      <c r="Y4" s="4">
        <v>1983</v>
      </c>
      <c r="Z4" s="4">
        <v>1984</v>
      </c>
      <c r="AA4" s="4">
        <v>1985</v>
      </c>
      <c r="AB4" s="4">
        <v>1986</v>
      </c>
      <c r="AC4" s="4">
        <v>1987</v>
      </c>
      <c r="AD4" s="4">
        <v>1988</v>
      </c>
      <c r="AE4" s="4">
        <v>1989</v>
      </c>
      <c r="AF4" s="4">
        <v>1990</v>
      </c>
    </row>
    <row r="5" spans="1:34" ht="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4" ht="18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4" x14ac:dyDescent="0.2">
      <c r="A7" s="12"/>
      <c r="B7" s="13"/>
      <c r="C7" s="13"/>
      <c r="D7" s="13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34" ht="15.75" x14ac:dyDescent="0.25">
      <c r="A8" s="15" t="s">
        <v>3</v>
      </c>
      <c r="B8" s="15"/>
      <c r="C8" s="15"/>
      <c r="D8" s="15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61"/>
      <c r="AA8" s="61"/>
      <c r="AB8" s="61"/>
      <c r="AC8" s="61"/>
      <c r="AD8" s="61"/>
      <c r="AE8" s="61"/>
      <c r="AF8" s="61"/>
    </row>
    <row r="9" spans="1:34" x14ac:dyDescent="0.2">
      <c r="A9" s="12"/>
      <c r="B9" s="13"/>
      <c r="C9" s="13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34" ht="15" x14ac:dyDescent="0.2">
      <c r="A10" s="18" t="s">
        <v>43</v>
      </c>
      <c r="B10" s="19">
        <f t="shared" ref="B10:AF10" si="0">B12+B60</f>
        <v>168.44338836</v>
      </c>
      <c r="C10" s="19">
        <f t="shared" si="0"/>
        <v>161.12399999999997</v>
      </c>
      <c r="D10" s="19">
        <f t="shared" si="0"/>
        <v>166.50178693999999</v>
      </c>
      <c r="E10" s="19">
        <f t="shared" si="0"/>
        <v>181.19499999999999</v>
      </c>
      <c r="F10" s="19">
        <f t="shared" si="0"/>
        <v>218.34873726000001</v>
      </c>
      <c r="G10" s="19">
        <f t="shared" si="0"/>
        <v>242.02100000000002</v>
      </c>
      <c r="H10" s="19">
        <f t="shared" si="0"/>
        <v>232.19299999999998</v>
      </c>
      <c r="I10" s="19">
        <f t="shared" si="0"/>
        <v>234.23599999999999</v>
      </c>
      <c r="J10" s="19">
        <f t="shared" si="0"/>
        <v>234.233</v>
      </c>
      <c r="K10" s="19">
        <f t="shared" si="0"/>
        <v>279.26684080000001</v>
      </c>
      <c r="L10" s="19">
        <f t="shared" si="0"/>
        <v>313.93200000000002</v>
      </c>
      <c r="M10" s="19">
        <f t="shared" si="0"/>
        <v>358.58615163000002</v>
      </c>
      <c r="N10" s="19">
        <f t="shared" si="0"/>
        <v>392.26047267099995</v>
      </c>
      <c r="O10" s="19">
        <f t="shared" si="0"/>
        <v>477.09554562999995</v>
      </c>
      <c r="P10" s="19">
        <f t="shared" si="0"/>
        <v>594.298</v>
      </c>
      <c r="Q10" s="19">
        <f t="shared" si="0"/>
        <v>762.03300000000002</v>
      </c>
      <c r="R10" s="19">
        <f t="shared" si="0"/>
        <v>986.8359999999999</v>
      </c>
      <c r="S10" s="19">
        <f t="shared" si="0"/>
        <v>1250.9259880000002</v>
      </c>
      <c r="T10" s="19">
        <f t="shared" si="0"/>
        <v>1181.1849999999999</v>
      </c>
      <c r="U10" s="19">
        <f t="shared" si="0"/>
        <v>1508.799</v>
      </c>
      <c r="V10" s="19">
        <f t="shared" si="0"/>
        <v>1376.3370000000002</v>
      </c>
      <c r="W10" s="19">
        <f t="shared" si="0"/>
        <v>1740.424</v>
      </c>
      <c r="X10" s="19">
        <f t="shared" si="0"/>
        <v>1730.8990000000003</v>
      </c>
      <c r="Y10" s="19">
        <f t="shared" si="0"/>
        <v>1723.3320000000001</v>
      </c>
      <c r="Z10" s="19">
        <f t="shared" si="0"/>
        <v>2817.73</v>
      </c>
      <c r="AA10" s="19">
        <f t="shared" si="0"/>
        <v>2391.0100000000002</v>
      </c>
      <c r="AB10" s="19">
        <f t="shared" si="0"/>
        <v>3508.16</v>
      </c>
      <c r="AC10" s="19">
        <f t="shared" si="0"/>
        <v>3232.6280000000006</v>
      </c>
      <c r="AD10" s="19">
        <f t="shared" si="0"/>
        <v>3167.8309999999997</v>
      </c>
      <c r="AE10" s="19">
        <f t="shared" si="0"/>
        <v>3330.2380000000003</v>
      </c>
      <c r="AF10" s="19">
        <f t="shared" si="0"/>
        <v>4792.7430000000004</v>
      </c>
    </row>
    <row r="11" spans="1:34" x14ac:dyDescent="0.2">
      <c r="A11" s="12"/>
      <c r="B11" s="13"/>
      <c r="C11" s="13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34" s="20" customFormat="1" ht="15" x14ac:dyDescent="0.2">
      <c r="A12" s="18" t="s">
        <v>44</v>
      </c>
      <c r="B12" s="19">
        <f t="shared" ref="B12:AF12" si="1">B16+B50</f>
        <v>164.94863375</v>
      </c>
      <c r="C12" s="65">
        <f t="shared" si="1"/>
        <v>161.11499999999998</v>
      </c>
      <c r="D12" s="19">
        <f t="shared" si="1"/>
        <v>163.22734656</v>
      </c>
      <c r="E12" s="65">
        <f t="shared" si="1"/>
        <v>181.18</v>
      </c>
      <c r="F12" s="19">
        <f t="shared" si="1"/>
        <v>210.57924070000001</v>
      </c>
      <c r="G12" s="65">
        <f t="shared" si="1"/>
        <v>224.542</v>
      </c>
      <c r="H12" s="65">
        <f t="shared" si="1"/>
        <v>223.51999999999998</v>
      </c>
      <c r="I12" s="65">
        <f t="shared" si="1"/>
        <v>226.905</v>
      </c>
      <c r="J12" s="65">
        <f t="shared" si="1"/>
        <v>231.482</v>
      </c>
      <c r="K12" s="19">
        <f t="shared" si="1"/>
        <v>251.95478412</v>
      </c>
      <c r="L12" s="65">
        <f t="shared" si="1"/>
        <v>281.839</v>
      </c>
      <c r="M12" s="19">
        <f t="shared" si="1"/>
        <v>299.7804878</v>
      </c>
      <c r="N12" s="19">
        <f t="shared" si="1"/>
        <v>326.38048815099995</v>
      </c>
      <c r="O12" s="19">
        <f t="shared" si="1"/>
        <v>402.65575823999995</v>
      </c>
      <c r="P12" s="65">
        <f t="shared" si="1"/>
        <v>484.34499999999997</v>
      </c>
      <c r="Q12" s="65">
        <f t="shared" si="1"/>
        <v>577.93600000000004</v>
      </c>
      <c r="R12" s="65">
        <f t="shared" si="1"/>
        <v>809.98399999999992</v>
      </c>
      <c r="S12" s="19">
        <f t="shared" si="1"/>
        <v>1179.8233775200001</v>
      </c>
      <c r="T12" s="19">
        <f t="shared" si="1"/>
        <v>1026.93</v>
      </c>
      <c r="U12" s="19">
        <f t="shared" si="1"/>
        <v>1215.3900000000001</v>
      </c>
      <c r="V12" s="19">
        <f t="shared" si="1"/>
        <v>1039.7920000000001</v>
      </c>
      <c r="W12" s="19">
        <f t="shared" si="1"/>
        <v>1107.0540000000001</v>
      </c>
      <c r="X12" s="19">
        <f t="shared" si="1"/>
        <v>1109.8280000000002</v>
      </c>
      <c r="Y12" s="19">
        <f t="shared" si="1"/>
        <v>1228.9760000000001</v>
      </c>
      <c r="Z12" s="19">
        <f t="shared" si="1"/>
        <v>1577.587</v>
      </c>
      <c r="AA12" s="19">
        <f t="shared" si="1"/>
        <v>1911.011</v>
      </c>
      <c r="AB12" s="19">
        <f t="shared" si="1"/>
        <v>3007.2579999999998</v>
      </c>
      <c r="AC12" s="19">
        <f t="shared" si="1"/>
        <v>2720.8500000000004</v>
      </c>
      <c r="AD12" s="19">
        <f t="shared" si="1"/>
        <v>2803.5539999999996</v>
      </c>
      <c r="AE12" s="19">
        <f t="shared" si="1"/>
        <v>2623.5770000000002</v>
      </c>
      <c r="AF12" s="19">
        <f t="shared" si="1"/>
        <v>3367.0239999999999</v>
      </c>
      <c r="AG12" s="58"/>
      <c r="AH12" s="9"/>
    </row>
    <row r="13" spans="1:34" x14ac:dyDescent="0.2">
      <c r="A13" s="23"/>
      <c r="B13" s="24"/>
      <c r="C13" s="24"/>
      <c r="D13" s="24"/>
      <c r="E13" s="2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4"/>
      <c r="S13" s="24"/>
      <c r="T13" s="24"/>
      <c r="U13" s="24"/>
      <c r="V13" s="25"/>
    </row>
    <row r="14" spans="1:34" ht="15.75" x14ac:dyDescent="0.25">
      <c r="A14" s="15" t="s">
        <v>38</v>
      </c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8"/>
      <c r="S14" s="28"/>
      <c r="T14" s="28"/>
      <c r="U14" s="28"/>
      <c r="V14" s="28"/>
      <c r="W14" s="28"/>
      <c r="X14" s="28"/>
      <c r="Y14" s="28"/>
      <c r="Z14" s="62"/>
      <c r="AA14" s="62"/>
      <c r="AB14" s="62"/>
      <c r="AC14" s="62"/>
      <c r="AD14" s="62"/>
      <c r="AE14" s="62"/>
      <c r="AF14" s="62"/>
      <c r="AG14" s="59"/>
    </row>
    <row r="15" spans="1:34" s="7" customFormat="1" x14ac:dyDescent="0.2">
      <c r="A15" s="29"/>
      <c r="B15" s="24"/>
      <c r="C15" s="24"/>
      <c r="D15" s="24"/>
      <c r="E15" s="24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52"/>
      <c r="S15" s="31"/>
      <c r="T15" s="31"/>
      <c r="U15" s="32"/>
      <c r="V15" s="33"/>
    </row>
    <row r="16" spans="1:34" s="66" customFormat="1" ht="15" x14ac:dyDescent="0.2">
      <c r="A16" s="67" t="s">
        <v>39</v>
      </c>
      <c r="B16" s="68">
        <f>B18+B22+B27+B37+B41</f>
        <v>152.51165083999999</v>
      </c>
      <c r="C16" s="68">
        <v>142.55099999999999</v>
      </c>
      <c r="D16" s="68">
        <f>D18+D22+D27+D37+D41</f>
        <v>149.87443383000002</v>
      </c>
      <c r="E16" s="68">
        <v>165.495</v>
      </c>
      <c r="F16" s="68">
        <f>F18+F22+F27+F37+F41</f>
        <v>199.60406867</v>
      </c>
      <c r="G16" s="68">
        <v>212.35400000000001</v>
      </c>
      <c r="H16" s="68">
        <v>210.124</v>
      </c>
      <c r="I16" s="68">
        <v>211.97900000000001</v>
      </c>
      <c r="J16" s="68">
        <v>217.01900000000001</v>
      </c>
      <c r="K16" s="68">
        <f>K18+K22+K27+K37+K41</f>
        <v>235.87722386000002</v>
      </c>
      <c r="L16" s="68">
        <v>264.59399999999999</v>
      </c>
      <c r="M16" s="68">
        <f>M18+M22+M27+M37+M41</f>
        <v>278.95693210000002</v>
      </c>
      <c r="N16" s="68">
        <f>N18+N22+N27+N37+N41</f>
        <v>304.89910517099997</v>
      </c>
      <c r="O16" s="68">
        <f>O18+O22+O27+O37+O41</f>
        <v>376.07482904999995</v>
      </c>
      <c r="P16" s="68">
        <v>453.26299999999998</v>
      </c>
      <c r="Q16" s="68">
        <v>541.32500000000005</v>
      </c>
      <c r="R16" s="68">
        <v>767.55899999999997</v>
      </c>
      <c r="S16" s="68">
        <f t="shared" ref="S16:AF16" si="2">S18+S22+S27+S37+S41</f>
        <v>1129.4683775200001</v>
      </c>
      <c r="T16" s="68">
        <f t="shared" si="2"/>
        <v>972.07900000000006</v>
      </c>
      <c r="U16" s="68">
        <f t="shared" si="2"/>
        <v>1162.277</v>
      </c>
      <c r="V16" s="68">
        <f t="shared" si="2"/>
        <v>989.27400000000011</v>
      </c>
      <c r="W16" s="68">
        <f t="shared" si="2"/>
        <v>990.34300000000007</v>
      </c>
      <c r="X16" s="68">
        <f t="shared" si="2"/>
        <v>952.2360000000001</v>
      </c>
      <c r="Y16" s="68">
        <f t="shared" si="2"/>
        <v>1079.816</v>
      </c>
      <c r="Z16" s="68">
        <f t="shared" si="2"/>
        <v>1350.634</v>
      </c>
      <c r="AA16" s="68">
        <f t="shared" si="2"/>
        <v>1659.3710000000001</v>
      </c>
      <c r="AB16" s="68">
        <f t="shared" si="2"/>
        <v>2702.3119999999999</v>
      </c>
      <c r="AC16" s="68">
        <f t="shared" si="2"/>
        <v>2517.0500000000002</v>
      </c>
      <c r="AD16" s="68">
        <f t="shared" si="2"/>
        <v>2531.8509999999997</v>
      </c>
      <c r="AE16" s="68">
        <f t="shared" si="2"/>
        <v>2457.2750000000001</v>
      </c>
      <c r="AF16" s="68">
        <f t="shared" si="2"/>
        <v>3200.748</v>
      </c>
    </row>
    <row r="17" spans="1:37" s="7" customFormat="1" x14ac:dyDescent="0.2">
      <c r="A17" s="29"/>
      <c r="B17" s="24"/>
      <c r="C17" s="24"/>
      <c r="D17" s="24"/>
      <c r="E17" s="24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52" t="s">
        <v>2</v>
      </c>
      <c r="S17" s="31"/>
      <c r="T17" s="31"/>
      <c r="U17" s="32"/>
      <c r="V17" s="33"/>
    </row>
    <row r="18" spans="1:37" s="36" customFormat="1" ht="15.75" x14ac:dyDescent="0.25">
      <c r="A18" s="34" t="s">
        <v>32</v>
      </c>
      <c r="B18" s="35">
        <f>SUM(B19:B20)</f>
        <v>17.053454609999999</v>
      </c>
      <c r="C18" s="35">
        <f t="shared" ref="C18:AF18" si="3">SUM(C19:C20)</f>
        <v>0</v>
      </c>
      <c r="D18" s="35">
        <f t="shared" si="3"/>
        <v>26.796816499999998</v>
      </c>
      <c r="E18" s="35">
        <f t="shared" si="3"/>
        <v>0</v>
      </c>
      <c r="F18" s="35">
        <f>SUM(F20:F20)</f>
        <v>35.762836929999999</v>
      </c>
      <c r="G18" s="35">
        <f t="shared" si="3"/>
        <v>0</v>
      </c>
      <c r="H18" s="35">
        <f t="shared" si="3"/>
        <v>0</v>
      </c>
      <c r="I18" s="35">
        <f t="shared" si="3"/>
        <v>0</v>
      </c>
      <c r="J18" s="35">
        <f t="shared" si="3"/>
        <v>0</v>
      </c>
      <c r="K18" s="35">
        <f t="shared" si="3"/>
        <v>38.063404740000003</v>
      </c>
      <c r="L18" s="35">
        <f t="shared" si="3"/>
        <v>0</v>
      </c>
      <c r="M18" s="35">
        <f t="shared" si="3"/>
        <v>45.31827723</v>
      </c>
      <c r="N18" s="35">
        <f t="shared" si="3"/>
        <v>52.088611409999999</v>
      </c>
      <c r="O18" s="35">
        <f t="shared" si="3"/>
        <v>62.6255703</v>
      </c>
      <c r="P18" s="35">
        <f t="shared" si="3"/>
        <v>0</v>
      </c>
      <c r="Q18" s="35">
        <f t="shared" si="3"/>
        <v>0</v>
      </c>
      <c r="R18" s="35">
        <f t="shared" si="3"/>
        <v>0</v>
      </c>
      <c r="S18" s="35">
        <f t="shared" si="3"/>
        <v>164.15365209000001</v>
      </c>
      <c r="T18" s="35">
        <f t="shared" si="3"/>
        <v>201.779</v>
      </c>
      <c r="U18" s="35">
        <f t="shared" si="3"/>
        <v>192.88</v>
      </c>
      <c r="V18" s="35">
        <f t="shared" si="3"/>
        <v>235.13300000000001</v>
      </c>
      <c r="W18" s="35">
        <f t="shared" si="3"/>
        <v>226.18700000000001</v>
      </c>
      <c r="X18" s="35">
        <f t="shared" si="3"/>
        <v>224.63</v>
      </c>
      <c r="Y18" s="35">
        <f t="shared" si="3"/>
        <v>234.768</v>
      </c>
      <c r="Z18" s="35">
        <f t="shared" si="3"/>
        <v>267.44200000000001</v>
      </c>
      <c r="AA18" s="35">
        <f t="shared" si="3"/>
        <v>297.75599999999997</v>
      </c>
      <c r="AB18" s="35">
        <f t="shared" si="3"/>
        <v>432.82400000000001</v>
      </c>
      <c r="AC18" s="35">
        <f t="shared" si="3"/>
        <v>560.548</v>
      </c>
      <c r="AD18" s="35">
        <f t="shared" si="3"/>
        <v>560.79899999999998</v>
      </c>
      <c r="AE18" s="35">
        <f t="shared" si="3"/>
        <v>581.38400000000001</v>
      </c>
      <c r="AF18" s="35">
        <f t="shared" si="3"/>
        <v>725.48599999999999</v>
      </c>
      <c r="AG18" s="59"/>
    </row>
    <row r="19" spans="1:37" s="37" customFormat="1" ht="15" x14ac:dyDescent="0.2">
      <c r="A19" s="18" t="s">
        <v>9</v>
      </c>
      <c r="B19" s="8">
        <v>17.053454609999999</v>
      </c>
      <c r="C19" s="8"/>
      <c r="D19" s="8">
        <v>26.796816499999998</v>
      </c>
      <c r="E19" s="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8"/>
      <c r="AA19" s="8"/>
      <c r="AB19" s="8"/>
      <c r="AC19" s="8"/>
      <c r="AD19" s="8"/>
      <c r="AE19" s="8"/>
      <c r="AF19" s="8"/>
      <c r="AG19" s="59"/>
      <c r="AH19" s="36"/>
      <c r="AI19" s="36"/>
      <c r="AJ19" s="36"/>
      <c r="AK19" s="59"/>
    </row>
    <row r="20" spans="1:37" s="37" customFormat="1" ht="15" x14ac:dyDescent="0.2">
      <c r="A20" s="18" t="s">
        <v>22</v>
      </c>
      <c r="B20" s="8"/>
      <c r="C20" s="8"/>
      <c r="D20" s="8"/>
      <c r="E20" s="8"/>
      <c r="F20" s="19">
        <v>35.762836929999999</v>
      </c>
      <c r="G20" s="19"/>
      <c r="H20" s="19"/>
      <c r="I20" s="19"/>
      <c r="J20" s="19"/>
      <c r="K20" s="19">
        <v>38.063404740000003</v>
      </c>
      <c r="L20" s="19"/>
      <c r="M20" s="19">
        <v>45.31827723</v>
      </c>
      <c r="N20" s="19">
        <v>52.088611409999999</v>
      </c>
      <c r="O20" s="19">
        <v>62.6255703</v>
      </c>
      <c r="P20" s="19"/>
      <c r="Q20" s="19"/>
      <c r="R20" s="19"/>
      <c r="S20" s="19">
        <v>164.15365209000001</v>
      </c>
      <c r="T20" s="19">
        <v>201.779</v>
      </c>
      <c r="U20" s="19">
        <v>192.88</v>
      </c>
      <c r="V20" s="19">
        <v>235.13300000000001</v>
      </c>
      <c r="W20" s="19">
        <v>226.18700000000001</v>
      </c>
      <c r="X20" s="19">
        <v>224.63</v>
      </c>
      <c r="Y20" s="19">
        <v>234.768</v>
      </c>
      <c r="Z20" s="8">
        <v>267.44200000000001</v>
      </c>
      <c r="AA20" s="8">
        <v>297.75599999999997</v>
      </c>
      <c r="AB20" s="8">
        <v>432.82400000000001</v>
      </c>
      <c r="AC20" s="8">
        <v>560.548</v>
      </c>
      <c r="AD20" s="8">
        <v>560.79899999999998</v>
      </c>
      <c r="AE20" s="8">
        <v>581.38400000000001</v>
      </c>
      <c r="AF20" s="8">
        <v>725.48599999999999</v>
      </c>
      <c r="AG20" s="59"/>
      <c r="AH20" s="36"/>
      <c r="AI20" s="36"/>
      <c r="AJ20" s="36"/>
      <c r="AK20" s="59"/>
    </row>
    <row r="21" spans="1:37" s="7" customFormat="1" x14ac:dyDescent="0.2">
      <c r="A21" s="29"/>
      <c r="B21" s="24"/>
      <c r="C21" s="24"/>
      <c r="D21" s="24"/>
      <c r="E21" s="24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1"/>
      <c r="T21" s="31"/>
      <c r="U21" s="32"/>
      <c r="V21" s="38"/>
      <c r="AG21" s="60"/>
    </row>
    <row r="22" spans="1:37" s="36" customFormat="1" ht="15.75" x14ac:dyDescent="0.25">
      <c r="A22" s="34" t="s">
        <v>4</v>
      </c>
      <c r="B22" s="35">
        <f t="shared" ref="B22:AF22" si="4">SUM(B24:B25)</f>
        <v>0</v>
      </c>
      <c r="C22" s="35">
        <f t="shared" si="4"/>
        <v>0</v>
      </c>
      <c r="D22" s="35">
        <f t="shared" si="4"/>
        <v>0</v>
      </c>
      <c r="E22" s="35">
        <f t="shared" si="4"/>
        <v>0</v>
      </c>
      <c r="F22" s="35">
        <f t="shared" si="4"/>
        <v>10.170263469999998</v>
      </c>
      <c r="G22" s="35">
        <f t="shared" si="4"/>
        <v>0</v>
      </c>
      <c r="H22" s="35">
        <f t="shared" si="4"/>
        <v>0</v>
      </c>
      <c r="I22" s="35">
        <f t="shared" si="4"/>
        <v>0</v>
      </c>
      <c r="J22" s="35">
        <f t="shared" si="4"/>
        <v>0</v>
      </c>
      <c r="K22" s="35">
        <f t="shared" si="4"/>
        <v>24.821071530000001</v>
      </c>
      <c r="L22" s="35">
        <f t="shared" si="4"/>
        <v>0</v>
      </c>
      <c r="M22" s="35">
        <f t="shared" si="4"/>
        <v>24.490186680000001</v>
      </c>
      <c r="N22" s="35">
        <f t="shared" si="4"/>
        <v>23.50139179</v>
      </c>
      <c r="O22" s="35">
        <f t="shared" si="4"/>
        <v>30.806250389999999</v>
      </c>
      <c r="P22" s="35">
        <f t="shared" si="4"/>
        <v>0</v>
      </c>
      <c r="Q22" s="35">
        <f t="shared" si="4"/>
        <v>0</v>
      </c>
      <c r="R22" s="35">
        <f t="shared" si="4"/>
        <v>0</v>
      </c>
      <c r="S22" s="35">
        <f t="shared" si="4"/>
        <v>73.296999349999993</v>
      </c>
      <c r="T22" s="35">
        <f t="shared" si="4"/>
        <v>83.778000000000006</v>
      </c>
      <c r="U22" s="35">
        <f t="shared" si="4"/>
        <v>84.403000000000006</v>
      </c>
      <c r="V22" s="35">
        <f t="shared" si="4"/>
        <v>76.876000000000005</v>
      </c>
      <c r="W22" s="35">
        <f t="shared" si="4"/>
        <v>71.021000000000001</v>
      </c>
      <c r="X22" s="35">
        <f t="shared" si="4"/>
        <v>69.739000000000004</v>
      </c>
      <c r="Y22" s="35">
        <f t="shared" si="4"/>
        <v>71.352000000000004</v>
      </c>
      <c r="Z22" s="35">
        <f t="shared" si="4"/>
        <v>73.655999999999992</v>
      </c>
      <c r="AA22" s="35">
        <f t="shared" si="4"/>
        <v>86.962000000000003</v>
      </c>
      <c r="AB22" s="35">
        <f t="shared" si="4"/>
        <v>213.93800000000002</v>
      </c>
      <c r="AC22" s="35">
        <f t="shared" si="4"/>
        <v>150.56700000000001</v>
      </c>
      <c r="AD22" s="35">
        <f t="shared" si="4"/>
        <v>178.309</v>
      </c>
      <c r="AE22" s="35">
        <f t="shared" si="4"/>
        <v>176.65600000000001</v>
      </c>
      <c r="AF22" s="35">
        <f t="shared" si="4"/>
        <v>197.179</v>
      </c>
      <c r="AG22" s="13"/>
      <c r="AK22" s="59"/>
    </row>
    <row r="23" spans="1:37" s="37" customFormat="1" ht="15" x14ac:dyDescent="0.2">
      <c r="A23" s="18" t="s">
        <v>10</v>
      </c>
      <c r="B23" s="8">
        <v>2.1254932499999999</v>
      </c>
      <c r="C23" s="8"/>
      <c r="D23" s="8">
        <v>2.1019015200000002</v>
      </c>
      <c r="E23" s="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8"/>
      <c r="S23" s="8"/>
      <c r="T23" s="8"/>
      <c r="U23" s="8"/>
      <c r="V23" s="8"/>
      <c r="W23" s="8"/>
      <c r="X23" s="8"/>
      <c r="Y23" s="19"/>
      <c r="Z23" s="8"/>
      <c r="AA23" s="8"/>
      <c r="AB23" s="8"/>
      <c r="AC23" s="8"/>
      <c r="AD23" s="8"/>
      <c r="AE23" s="8"/>
      <c r="AF23" s="8"/>
    </row>
    <row r="24" spans="1:37" s="37" customFormat="1" ht="15" x14ac:dyDescent="0.2">
      <c r="A24" s="18" t="s">
        <v>23</v>
      </c>
      <c r="B24" s="8"/>
      <c r="C24" s="8"/>
      <c r="D24" s="8"/>
      <c r="E24" s="8"/>
      <c r="F24" s="19">
        <v>5.11371033</v>
      </c>
      <c r="G24" s="19"/>
      <c r="H24" s="19"/>
      <c r="I24" s="19"/>
      <c r="J24" s="19"/>
      <c r="K24" s="19">
        <v>17.661513280000001</v>
      </c>
      <c r="L24" s="19"/>
      <c r="M24" s="19">
        <v>16.875996369999999</v>
      </c>
      <c r="N24" s="19">
        <v>16.65023364</v>
      </c>
      <c r="O24" s="19">
        <v>18.54270386</v>
      </c>
      <c r="P24" s="19"/>
      <c r="Q24" s="19"/>
      <c r="R24" s="8"/>
      <c r="S24" s="8">
        <v>54.224985859999997</v>
      </c>
      <c r="T24" s="8">
        <v>61.71</v>
      </c>
      <c r="U24" s="8">
        <v>60.993000000000002</v>
      </c>
      <c r="V24" s="8">
        <v>59.85</v>
      </c>
      <c r="W24" s="8">
        <v>55.960999999999999</v>
      </c>
      <c r="X24" s="8">
        <v>52.280999999999999</v>
      </c>
      <c r="Y24" s="19">
        <v>50</v>
      </c>
      <c r="Z24" s="8">
        <v>48.98</v>
      </c>
      <c r="AA24" s="8">
        <v>53.212000000000003</v>
      </c>
      <c r="AB24" s="8">
        <v>178.10300000000001</v>
      </c>
      <c r="AC24" s="8">
        <v>108.59399999999999</v>
      </c>
      <c r="AD24" s="8">
        <v>119.818</v>
      </c>
      <c r="AE24" s="8">
        <v>118.816</v>
      </c>
      <c r="AF24" s="8">
        <v>124.879</v>
      </c>
    </row>
    <row r="25" spans="1:37" s="37" customFormat="1" ht="15" x14ac:dyDescent="0.2">
      <c r="A25" s="18" t="s">
        <v>24</v>
      </c>
      <c r="B25" s="8"/>
      <c r="C25" s="8"/>
      <c r="D25" s="8"/>
      <c r="E25" s="8"/>
      <c r="F25" s="19">
        <v>5.0565531399999992</v>
      </c>
      <c r="G25" s="19"/>
      <c r="H25" s="19"/>
      <c r="I25" s="19"/>
      <c r="J25" s="19"/>
      <c r="K25" s="19">
        <v>7.1595582499999999</v>
      </c>
      <c r="L25" s="19"/>
      <c r="M25" s="19">
        <v>7.6141903099999997</v>
      </c>
      <c r="N25" s="19">
        <v>6.8511581500000007</v>
      </c>
      <c r="O25" s="19">
        <v>12.263546529999999</v>
      </c>
      <c r="P25" s="19"/>
      <c r="Q25" s="19"/>
      <c r="R25" s="8"/>
      <c r="S25" s="8">
        <v>19.07201349</v>
      </c>
      <c r="T25" s="8">
        <v>22.068000000000001</v>
      </c>
      <c r="U25" s="8">
        <v>23.41</v>
      </c>
      <c r="V25" s="8">
        <v>17.026</v>
      </c>
      <c r="W25" s="8">
        <v>15.06</v>
      </c>
      <c r="X25" s="8">
        <v>17.457999999999998</v>
      </c>
      <c r="Y25" s="19">
        <v>21.352</v>
      </c>
      <c r="Z25" s="8">
        <v>24.675999999999998</v>
      </c>
      <c r="AA25" s="8">
        <v>33.75</v>
      </c>
      <c r="AB25" s="8">
        <v>35.835000000000001</v>
      </c>
      <c r="AC25" s="8">
        <v>41.972999999999999</v>
      </c>
      <c r="AD25" s="8">
        <v>58.491</v>
      </c>
      <c r="AE25" s="8">
        <v>57.84</v>
      </c>
      <c r="AF25" s="8">
        <v>72.3</v>
      </c>
    </row>
    <row r="26" spans="1:37" s="7" customFormat="1" x14ac:dyDescent="0.2">
      <c r="A26" s="29"/>
      <c r="B26" s="24"/>
      <c r="C26" s="24"/>
      <c r="D26" s="24"/>
      <c r="E26" s="24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53" t="s">
        <v>2</v>
      </c>
      <c r="S26" s="31"/>
      <c r="T26" s="31"/>
      <c r="U26" s="32"/>
      <c r="V26" s="38"/>
    </row>
    <row r="27" spans="1:37" s="36" customFormat="1" ht="15.75" x14ac:dyDescent="0.25">
      <c r="A27" s="34" t="s">
        <v>31</v>
      </c>
      <c r="B27" s="39">
        <f t="shared" ref="B27:AF27" si="5">SUM(B28:B35)</f>
        <v>37.01011123</v>
      </c>
      <c r="C27" s="39">
        <f t="shared" si="5"/>
        <v>0</v>
      </c>
      <c r="D27" s="39">
        <f t="shared" si="5"/>
        <v>39.918071949999998</v>
      </c>
      <c r="E27" s="39">
        <f t="shared" si="5"/>
        <v>0</v>
      </c>
      <c r="F27" s="39">
        <f t="shared" si="5"/>
        <v>57.668370960000004</v>
      </c>
      <c r="G27" s="39">
        <f t="shared" si="5"/>
        <v>0</v>
      </c>
      <c r="H27" s="39">
        <f t="shared" si="5"/>
        <v>0</v>
      </c>
      <c r="I27" s="39">
        <f t="shared" si="5"/>
        <v>0</v>
      </c>
      <c r="J27" s="39">
        <f t="shared" si="5"/>
        <v>0</v>
      </c>
      <c r="K27" s="39">
        <f t="shared" si="5"/>
        <v>78.381589570000003</v>
      </c>
      <c r="L27" s="39">
        <f t="shared" si="5"/>
        <v>0</v>
      </c>
      <c r="M27" s="39">
        <f t="shared" si="5"/>
        <v>101.75722891000001</v>
      </c>
      <c r="N27" s="39">
        <f t="shared" si="5"/>
        <v>110.11138588999999</v>
      </c>
      <c r="O27" s="39">
        <f t="shared" si="5"/>
        <v>127.22605160999998</v>
      </c>
      <c r="P27" s="39">
        <f t="shared" si="5"/>
        <v>0</v>
      </c>
      <c r="Q27" s="39">
        <f t="shared" si="5"/>
        <v>0</v>
      </c>
      <c r="R27" s="39">
        <f t="shared" si="5"/>
        <v>0</v>
      </c>
      <c r="S27" s="39">
        <f t="shared" si="5"/>
        <v>267.70276840000002</v>
      </c>
      <c r="T27" s="39">
        <f t="shared" si="5"/>
        <v>284.96800000000002</v>
      </c>
      <c r="U27" s="39">
        <f t="shared" si="5"/>
        <v>313.79399999999998</v>
      </c>
      <c r="V27" s="39">
        <f t="shared" si="5"/>
        <v>302.38400000000001</v>
      </c>
      <c r="W27" s="39">
        <f t="shared" si="5"/>
        <v>370.67</v>
      </c>
      <c r="X27" s="39">
        <f t="shared" si="5"/>
        <v>378.94500000000005</v>
      </c>
      <c r="Y27" s="39">
        <f t="shared" si="5"/>
        <v>495.21699999999998</v>
      </c>
      <c r="Z27" s="39">
        <f t="shared" si="5"/>
        <v>636.91500000000008</v>
      </c>
      <c r="AA27" s="39">
        <f t="shared" si="5"/>
        <v>741.72500000000002</v>
      </c>
      <c r="AB27" s="39">
        <f t="shared" si="5"/>
        <v>887.17800000000011</v>
      </c>
      <c r="AC27" s="39">
        <f t="shared" si="5"/>
        <v>1104.481</v>
      </c>
      <c r="AD27" s="39">
        <f t="shared" si="5"/>
        <v>1200.617</v>
      </c>
      <c r="AE27" s="39">
        <f t="shared" si="5"/>
        <v>1253.713</v>
      </c>
      <c r="AF27" s="39">
        <f t="shared" si="5"/>
        <v>1557.9430000000002</v>
      </c>
      <c r="AG27" s="13"/>
      <c r="AK27" s="59"/>
    </row>
    <row r="28" spans="1:37" s="9" customFormat="1" ht="15" x14ac:dyDescent="0.2">
      <c r="A28" s="9" t="s">
        <v>11</v>
      </c>
      <c r="B28" s="19">
        <v>29.74901285</v>
      </c>
      <c r="C28" s="19"/>
      <c r="D28" s="8">
        <v>32.114979079999998</v>
      </c>
      <c r="E28" s="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7" s="49" customFormat="1" ht="15.75" x14ac:dyDescent="0.25">
      <c r="A29" s="9" t="s">
        <v>12</v>
      </c>
      <c r="B29" s="19">
        <v>5.1721438800000001</v>
      </c>
      <c r="C29" s="19"/>
      <c r="D29" s="19">
        <v>5.5535393700000002</v>
      </c>
      <c r="E29" s="19"/>
      <c r="F29" s="19"/>
      <c r="G29" s="19"/>
      <c r="H29" s="19"/>
      <c r="I29" s="19"/>
      <c r="J29" s="19"/>
      <c r="K29" s="19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13"/>
      <c r="AH29" s="36"/>
      <c r="AI29" s="36"/>
      <c r="AJ29" s="36"/>
      <c r="AK29" s="59"/>
    </row>
    <row r="30" spans="1:37" s="36" customFormat="1" ht="15" x14ac:dyDescent="0.2">
      <c r="A30" s="37" t="s">
        <v>13</v>
      </c>
      <c r="B30" s="8">
        <v>2.0889544999999998</v>
      </c>
      <c r="C30" s="19"/>
      <c r="D30" s="19">
        <v>2.2495535000000002</v>
      </c>
      <c r="E30" s="19"/>
      <c r="F30" s="19"/>
      <c r="G30" s="19"/>
      <c r="H30" s="19"/>
      <c r="I30" s="19"/>
      <c r="J30" s="19"/>
      <c r="K30" s="19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7" s="37" customFormat="1" ht="15" x14ac:dyDescent="0.2">
      <c r="A31" s="55" t="s">
        <v>25</v>
      </c>
      <c r="B31" s="19"/>
      <c r="C31" s="19"/>
      <c r="D31" s="19"/>
      <c r="E31" s="19"/>
      <c r="F31" s="19">
        <v>7.0695330300000006</v>
      </c>
      <c r="G31" s="19"/>
      <c r="H31" s="19"/>
      <c r="I31" s="19"/>
      <c r="J31" s="19"/>
      <c r="K31" s="19">
        <v>9.9267996699999994</v>
      </c>
      <c r="L31" s="19"/>
      <c r="M31" s="19">
        <v>24.630016899999998</v>
      </c>
      <c r="N31" s="19">
        <v>28.04127518</v>
      </c>
      <c r="O31" s="19">
        <v>34.068836399999995</v>
      </c>
      <c r="P31" s="19"/>
      <c r="Q31" s="19"/>
      <c r="R31" s="41"/>
      <c r="S31" s="8">
        <v>84.173686939999996</v>
      </c>
      <c r="T31" s="8"/>
      <c r="U31" s="40"/>
      <c r="V31" s="40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7" s="37" customFormat="1" ht="15" x14ac:dyDescent="0.2">
      <c r="A32" s="9" t="s">
        <v>33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41"/>
      <c r="S32" s="8"/>
      <c r="T32" s="8">
        <v>0</v>
      </c>
      <c r="U32" s="40">
        <v>0</v>
      </c>
      <c r="V32" s="40">
        <v>0</v>
      </c>
      <c r="W32" s="8">
        <v>0</v>
      </c>
      <c r="X32" s="8">
        <v>0</v>
      </c>
      <c r="Y32" s="8">
        <v>0</v>
      </c>
      <c r="Z32" s="8">
        <v>27.983000000000001</v>
      </c>
      <c r="AA32" s="8">
        <v>34.822000000000003</v>
      </c>
      <c r="AB32" s="8">
        <v>38.862000000000002</v>
      </c>
      <c r="AC32" s="8">
        <v>50.347999999999999</v>
      </c>
      <c r="AD32" s="8">
        <v>51.162999999999997</v>
      </c>
      <c r="AE32" s="8">
        <v>48.453000000000003</v>
      </c>
      <c r="AF32" s="8">
        <v>51.387999999999998</v>
      </c>
    </row>
    <row r="33" spans="1:37" s="9" customFormat="1" ht="15" x14ac:dyDescent="0.2">
      <c r="A33" s="9" t="s">
        <v>37</v>
      </c>
      <c r="B33" s="19"/>
      <c r="C33" s="19"/>
      <c r="D33" s="8"/>
      <c r="E33" s="8"/>
      <c r="F33" s="19">
        <v>50.598837930000002</v>
      </c>
      <c r="G33" s="19"/>
      <c r="H33" s="19"/>
      <c r="I33" s="19"/>
      <c r="J33" s="19"/>
      <c r="K33" s="19">
        <v>68.454789900000009</v>
      </c>
      <c r="L33" s="19"/>
      <c r="M33" s="19">
        <v>77.127212010000008</v>
      </c>
      <c r="N33" s="19">
        <v>82.070110709999994</v>
      </c>
      <c r="O33" s="19">
        <v>93.15721520999999</v>
      </c>
      <c r="P33" s="19"/>
      <c r="Q33" s="19"/>
      <c r="R33" s="19"/>
      <c r="S33" s="19">
        <v>183.52908146000001</v>
      </c>
      <c r="T33" s="19">
        <v>191.03</v>
      </c>
      <c r="U33" s="19">
        <v>212.43899999999999</v>
      </c>
      <c r="V33" s="19">
        <v>207.679</v>
      </c>
      <c r="W33" s="19">
        <v>216.48500000000001</v>
      </c>
      <c r="X33" s="19">
        <v>217.989</v>
      </c>
      <c r="Y33" s="19">
        <v>230.09299999999999</v>
      </c>
      <c r="Z33" s="19">
        <v>224.37</v>
      </c>
      <c r="AA33" s="19">
        <v>257.99099999999999</v>
      </c>
      <c r="AB33" s="19">
        <v>279.673</v>
      </c>
      <c r="AC33" s="19">
        <v>331.25599999999997</v>
      </c>
      <c r="AD33" s="19">
        <v>431.15</v>
      </c>
      <c r="AE33" s="19">
        <v>429.4</v>
      </c>
      <c r="AF33" s="19">
        <v>477.12200000000001</v>
      </c>
    </row>
    <row r="34" spans="1:37" s="37" customFormat="1" ht="15" x14ac:dyDescent="0.2">
      <c r="A34" s="9" t="s">
        <v>34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41"/>
      <c r="S34" s="8"/>
      <c r="T34" s="8">
        <v>80.313999999999993</v>
      </c>
      <c r="U34" s="40">
        <v>87.840999999999994</v>
      </c>
      <c r="V34" s="40">
        <v>81.405000000000001</v>
      </c>
      <c r="W34" s="8">
        <v>141.999</v>
      </c>
      <c r="X34" s="8">
        <v>148.96600000000001</v>
      </c>
      <c r="Y34" s="8">
        <v>251.36799999999999</v>
      </c>
      <c r="Z34" s="8">
        <v>370.18900000000002</v>
      </c>
      <c r="AA34" s="8">
        <v>432.81299999999999</v>
      </c>
      <c r="AB34" s="8">
        <v>550.24</v>
      </c>
      <c r="AC34" s="8">
        <v>702.97199999999998</v>
      </c>
      <c r="AD34" s="8">
        <v>707.1</v>
      </c>
      <c r="AE34" s="8">
        <v>763.93</v>
      </c>
      <c r="AF34" s="8">
        <v>1009.687</v>
      </c>
    </row>
    <row r="35" spans="1:37" s="37" customFormat="1" ht="15" x14ac:dyDescent="0.2">
      <c r="A35" s="9" t="s">
        <v>35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41"/>
      <c r="S35" s="8"/>
      <c r="T35" s="8">
        <v>13.624000000000001</v>
      </c>
      <c r="U35" s="40">
        <v>13.513999999999999</v>
      </c>
      <c r="V35" s="40">
        <v>13.3</v>
      </c>
      <c r="W35" s="8">
        <v>12.186</v>
      </c>
      <c r="X35" s="8">
        <v>11.99</v>
      </c>
      <c r="Y35" s="8">
        <v>13.756</v>
      </c>
      <c r="Z35" s="8">
        <v>14.372999999999999</v>
      </c>
      <c r="AA35" s="8">
        <v>16.099</v>
      </c>
      <c r="AB35" s="8">
        <v>18.402999999999999</v>
      </c>
      <c r="AC35" s="8">
        <v>19.905000000000001</v>
      </c>
      <c r="AD35" s="8">
        <v>11.204000000000001</v>
      </c>
      <c r="AE35" s="8">
        <v>11.93</v>
      </c>
      <c r="AF35" s="8">
        <v>19.745999999999999</v>
      </c>
    </row>
    <row r="36" spans="1:37" s="13" customFormat="1" x14ac:dyDescent="0.2">
      <c r="B36" s="24"/>
      <c r="C36" s="24"/>
      <c r="D36" s="24"/>
      <c r="E36" s="24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54"/>
      <c r="S36" s="54"/>
      <c r="T36" s="54"/>
      <c r="U36" s="54"/>
      <c r="V36" s="24"/>
    </row>
    <row r="37" spans="1:37" s="36" customFormat="1" ht="15.75" x14ac:dyDescent="0.25">
      <c r="A37" s="34" t="s">
        <v>5</v>
      </c>
      <c r="B37" s="35">
        <f t="shared" ref="B37:AF37" si="6">SUM(B38:B39)</f>
        <v>96.133178610000002</v>
      </c>
      <c r="C37" s="35">
        <f t="shared" si="6"/>
        <v>0</v>
      </c>
      <c r="D37" s="35">
        <f t="shared" si="6"/>
        <v>81.102944190000002</v>
      </c>
      <c r="E37" s="35">
        <f t="shared" si="6"/>
        <v>0</v>
      </c>
      <c r="F37" s="35">
        <f t="shared" si="6"/>
        <v>95.48403042999999</v>
      </c>
      <c r="G37" s="35">
        <f t="shared" si="6"/>
        <v>0</v>
      </c>
      <c r="H37" s="35">
        <f t="shared" si="6"/>
        <v>0</v>
      </c>
      <c r="I37" s="35">
        <f t="shared" si="6"/>
        <v>0</v>
      </c>
      <c r="J37" s="35">
        <f t="shared" si="6"/>
        <v>0</v>
      </c>
      <c r="K37" s="35">
        <f t="shared" si="6"/>
        <v>84.603735639999996</v>
      </c>
      <c r="L37" s="35">
        <f t="shared" si="6"/>
        <v>0</v>
      </c>
      <c r="M37" s="35">
        <f t="shared" si="6"/>
        <v>106.60070374</v>
      </c>
      <c r="N37" s="35">
        <f t="shared" si="6"/>
        <v>118.370585381</v>
      </c>
      <c r="O37" s="35">
        <f t="shared" si="6"/>
        <v>154.59399387000002</v>
      </c>
      <c r="P37" s="35">
        <f t="shared" si="6"/>
        <v>0</v>
      </c>
      <c r="Q37" s="35">
        <f t="shared" si="6"/>
        <v>0</v>
      </c>
      <c r="R37" s="35">
        <f t="shared" si="6"/>
        <v>0</v>
      </c>
      <c r="S37" s="35">
        <f t="shared" si="6"/>
        <v>623.68609042000003</v>
      </c>
      <c r="T37" s="35">
        <f t="shared" si="6"/>
        <v>401.55399999999997</v>
      </c>
      <c r="U37" s="35">
        <f t="shared" si="6"/>
        <v>571.20000000000005</v>
      </c>
      <c r="V37" s="35">
        <f t="shared" si="6"/>
        <v>374.88100000000003</v>
      </c>
      <c r="W37" s="35">
        <f t="shared" si="6"/>
        <v>322.46499999999997</v>
      </c>
      <c r="X37" s="35">
        <f t="shared" si="6"/>
        <v>278.92200000000003</v>
      </c>
      <c r="Y37" s="35">
        <f t="shared" si="6"/>
        <v>278.47899999999998</v>
      </c>
      <c r="Z37" s="35">
        <f t="shared" si="6"/>
        <v>372.62099999999998</v>
      </c>
      <c r="AA37" s="35">
        <f t="shared" si="6"/>
        <v>532.928</v>
      </c>
      <c r="AB37" s="35">
        <f t="shared" si="6"/>
        <v>1168.3720000000001</v>
      </c>
      <c r="AC37" s="35">
        <f t="shared" si="6"/>
        <v>701.45399999999995</v>
      </c>
      <c r="AD37" s="35">
        <f t="shared" si="6"/>
        <v>592.12599999999998</v>
      </c>
      <c r="AE37" s="35">
        <f t="shared" si="6"/>
        <v>445.52200000000005</v>
      </c>
      <c r="AF37" s="35">
        <f t="shared" si="6"/>
        <v>720.14</v>
      </c>
      <c r="AG37" s="13"/>
      <c r="AK37" s="59"/>
    </row>
    <row r="38" spans="1:37" s="37" customFormat="1" ht="15" x14ac:dyDescent="0.2">
      <c r="A38" s="37" t="s">
        <v>15</v>
      </c>
      <c r="B38" s="8">
        <v>69.835534879999997</v>
      </c>
      <c r="C38" s="8"/>
      <c r="D38" s="8">
        <v>60.01509823</v>
      </c>
      <c r="E38" s="8"/>
      <c r="F38" s="19">
        <v>63.929548149999995</v>
      </c>
      <c r="G38" s="19"/>
      <c r="H38" s="19"/>
      <c r="I38" s="19"/>
      <c r="J38" s="19"/>
      <c r="K38" s="19">
        <v>57.199981619999996</v>
      </c>
      <c r="L38" s="19"/>
      <c r="M38" s="19">
        <v>68.357194590000006</v>
      </c>
      <c r="N38" s="19">
        <v>70.871957260000002</v>
      </c>
      <c r="O38" s="19">
        <v>78.473528220000006</v>
      </c>
      <c r="P38" s="19"/>
      <c r="Q38" s="41"/>
      <c r="R38" s="40"/>
      <c r="S38" s="40">
        <v>163.64107618</v>
      </c>
      <c r="T38" s="40">
        <v>157.33799999999999</v>
      </c>
      <c r="U38" s="40">
        <v>178.279</v>
      </c>
      <c r="V38" s="40">
        <v>98.504000000000005</v>
      </c>
      <c r="W38" s="40">
        <v>86.870999999999995</v>
      </c>
      <c r="X38" s="40">
        <v>79.418000000000006</v>
      </c>
      <c r="Y38" s="40">
        <v>89.52</v>
      </c>
      <c r="Z38" s="57">
        <v>125.20699999999999</v>
      </c>
      <c r="AA38" s="57">
        <v>170.261</v>
      </c>
      <c r="AB38" s="57">
        <v>204.083</v>
      </c>
      <c r="AC38" s="57">
        <v>258.57499999999999</v>
      </c>
      <c r="AD38" s="57">
        <v>214.33</v>
      </c>
      <c r="AE38" s="57">
        <v>312.75900000000001</v>
      </c>
      <c r="AF38" s="57">
        <v>464.76400000000001</v>
      </c>
    </row>
    <row r="39" spans="1:37" s="37" customFormat="1" ht="15" x14ac:dyDescent="0.2">
      <c r="A39" s="37" t="s">
        <v>16</v>
      </c>
      <c r="B39" s="8">
        <v>26.297643730000001</v>
      </c>
      <c r="C39" s="8"/>
      <c r="D39" s="8">
        <v>21.087845959999999</v>
      </c>
      <c r="E39" s="8"/>
      <c r="F39" s="19">
        <v>31.554482280000002</v>
      </c>
      <c r="G39" s="19"/>
      <c r="H39" s="19"/>
      <c r="I39" s="19"/>
      <c r="J39" s="19"/>
      <c r="K39" s="19">
        <v>27.403754020000001</v>
      </c>
      <c r="L39" s="19"/>
      <c r="M39" s="19">
        <v>38.243509150000001</v>
      </c>
      <c r="N39" s="19">
        <v>47.498628120999996</v>
      </c>
      <c r="O39" s="19">
        <v>76.12046565</v>
      </c>
      <c r="P39" s="19"/>
      <c r="Q39" s="41"/>
      <c r="R39" s="40"/>
      <c r="S39" s="40">
        <v>460.04501424</v>
      </c>
      <c r="T39" s="40">
        <v>244.21600000000001</v>
      </c>
      <c r="U39" s="40">
        <v>392.92099999999999</v>
      </c>
      <c r="V39" s="40">
        <v>276.37700000000001</v>
      </c>
      <c r="W39" s="40">
        <v>235.59399999999999</v>
      </c>
      <c r="X39" s="40">
        <v>199.50399999999999</v>
      </c>
      <c r="Y39" s="40">
        <v>188.959</v>
      </c>
      <c r="Z39" s="57">
        <v>247.41399999999999</v>
      </c>
      <c r="AA39" s="57">
        <v>362.66699999999997</v>
      </c>
      <c r="AB39" s="57">
        <v>964.28899999999999</v>
      </c>
      <c r="AC39" s="57">
        <v>442.87900000000002</v>
      </c>
      <c r="AD39" s="57">
        <v>377.79599999999999</v>
      </c>
      <c r="AE39" s="57">
        <v>132.76300000000001</v>
      </c>
      <c r="AF39" s="57">
        <v>255.376</v>
      </c>
    </row>
    <row r="40" spans="1:37" s="37" customFormat="1" ht="15" x14ac:dyDescent="0.2">
      <c r="B40" s="40"/>
      <c r="C40" s="40"/>
      <c r="D40" s="40"/>
      <c r="E40" s="40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0"/>
      <c r="S40" s="40"/>
      <c r="T40" s="40"/>
      <c r="U40" s="40"/>
      <c r="V40" s="21"/>
    </row>
    <row r="41" spans="1:37" s="37" customFormat="1" ht="15.75" x14ac:dyDescent="0.25">
      <c r="A41" s="34" t="s">
        <v>6</v>
      </c>
      <c r="B41" s="35">
        <f>SUM(B42:B44)</f>
        <v>2.31490639</v>
      </c>
      <c r="C41" s="35">
        <f t="shared" ref="C41:AF41" si="7">SUM(C42:C44)</f>
        <v>0</v>
      </c>
      <c r="D41" s="35">
        <f t="shared" si="7"/>
        <v>2.0566011899999999</v>
      </c>
      <c r="E41" s="35">
        <f t="shared" si="7"/>
        <v>0</v>
      </c>
      <c r="F41" s="35">
        <f t="shared" si="7"/>
        <v>0.51856687999999995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10.00742238</v>
      </c>
      <c r="L41" s="35">
        <f t="shared" si="7"/>
        <v>0</v>
      </c>
      <c r="M41" s="35">
        <f t="shared" si="7"/>
        <v>0.79053554000000004</v>
      </c>
      <c r="N41" s="35">
        <f t="shared" si="7"/>
        <v>0.8271307</v>
      </c>
      <c r="O41" s="35">
        <f t="shared" si="7"/>
        <v>0.82296288000000006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0.62886726000000004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7"/>
        <v>0</v>
      </c>
      <c r="Y41" s="35">
        <f t="shared" si="7"/>
        <v>0</v>
      </c>
      <c r="Z41" s="35">
        <f t="shared" si="7"/>
        <v>0</v>
      </c>
      <c r="AA41" s="35">
        <f t="shared" si="7"/>
        <v>0</v>
      </c>
      <c r="AB41" s="35">
        <f t="shared" si="7"/>
        <v>0</v>
      </c>
      <c r="AC41" s="35">
        <f t="shared" si="7"/>
        <v>0</v>
      </c>
      <c r="AD41" s="35">
        <f t="shared" si="7"/>
        <v>0</v>
      </c>
      <c r="AE41" s="35">
        <f t="shared" si="7"/>
        <v>0</v>
      </c>
      <c r="AF41" s="35">
        <f t="shared" si="7"/>
        <v>0</v>
      </c>
    </row>
    <row r="42" spans="1:37" s="37" customFormat="1" ht="15" x14ac:dyDescent="0.2">
      <c r="A42" s="37" t="s">
        <v>14</v>
      </c>
      <c r="B42" s="8">
        <v>2.31490639</v>
      </c>
      <c r="C42" s="8"/>
      <c r="D42" s="19">
        <v>2.0566011899999999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7" s="7" customFormat="1" ht="15" x14ac:dyDescent="0.2">
      <c r="A43" s="37" t="s">
        <v>26</v>
      </c>
      <c r="B43" s="42"/>
      <c r="C43" s="42"/>
      <c r="D43" s="42"/>
      <c r="E43" s="42"/>
      <c r="F43" s="19">
        <v>0.51856687999999995</v>
      </c>
      <c r="G43" s="30"/>
      <c r="H43" s="30"/>
      <c r="I43" s="30"/>
      <c r="J43" s="30"/>
      <c r="K43" s="19">
        <v>0.70553962000000003</v>
      </c>
      <c r="L43" s="30"/>
      <c r="M43" s="19">
        <v>0.71023153000000006</v>
      </c>
      <c r="N43" s="19">
        <v>0.76102543</v>
      </c>
      <c r="O43" s="19">
        <v>0.77141290000000007</v>
      </c>
      <c r="P43" s="19"/>
      <c r="Q43" s="19"/>
      <c r="R43" s="19"/>
      <c r="S43" s="19">
        <v>0.62886726000000004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7" s="7" customFormat="1" ht="15" x14ac:dyDescent="0.2">
      <c r="A44" s="37" t="s">
        <v>46</v>
      </c>
      <c r="B44" s="42"/>
      <c r="C44" s="42"/>
      <c r="D44" s="42"/>
      <c r="E44" s="42"/>
      <c r="F44" s="30"/>
      <c r="G44" s="30"/>
      <c r="H44" s="30"/>
      <c r="I44" s="30"/>
      <c r="J44" s="30"/>
      <c r="K44" s="19">
        <v>9.3018827599999998</v>
      </c>
      <c r="L44" s="30"/>
      <c r="M44" s="19">
        <v>8.0304009999999995E-2</v>
      </c>
      <c r="N44" s="19">
        <v>6.6105270000000008E-2</v>
      </c>
      <c r="O44" s="19">
        <v>5.1549980000000002E-2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1:37" ht="15" x14ac:dyDescent="0.2">
      <c r="A45" s="45"/>
      <c r="B45" s="19"/>
      <c r="C45" s="19"/>
      <c r="D45" s="19"/>
      <c r="E45" s="19"/>
      <c r="F45" s="19"/>
      <c r="G45" s="19"/>
      <c r="H45" s="19"/>
      <c r="I45" s="19"/>
      <c r="J45" s="41"/>
      <c r="K45" s="41"/>
      <c r="L45" s="41"/>
      <c r="M45" s="41"/>
      <c r="N45" s="41"/>
      <c r="O45" s="41"/>
      <c r="P45" s="41"/>
      <c r="Q45" s="41"/>
      <c r="R45" s="40"/>
      <c r="S45" s="50"/>
      <c r="T45" s="40"/>
      <c r="U45" s="40"/>
      <c r="V45" s="40"/>
      <c r="AG45" s="59"/>
    </row>
    <row r="46" spans="1:37" ht="15" x14ac:dyDescent="0.2">
      <c r="A46" s="11" t="s">
        <v>7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59"/>
    </row>
    <row r="47" spans="1:37" ht="15" x14ac:dyDescent="0.2">
      <c r="A47" s="43"/>
      <c r="B47" s="46"/>
      <c r="C47" s="46"/>
      <c r="D47" s="46"/>
      <c r="E47" s="4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6"/>
      <c r="S47" s="6"/>
      <c r="T47" s="6"/>
      <c r="U47" s="6"/>
      <c r="V47" s="6"/>
    </row>
    <row r="48" spans="1:37" s="66" customFormat="1" ht="15" x14ac:dyDescent="0.2">
      <c r="A48" s="67" t="s">
        <v>42</v>
      </c>
      <c r="B48" s="68">
        <f t="shared" ref="B48:AF48" si="8">B50+B60</f>
        <v>15.931737519999999</v>
      </c>
      <c r="C48" s="68">
        <f t="shared" si="8"/>
        <v>18.573</v>
      </c>
      <c r="D48" s="68">
        <f t="shared" si="8"/>
        <v>16.627353109999998</v>
      </c>
      <c r="E48" s="68">
        <f t="shared" si="8"/>
        <v>15.700000000000001</v>
      </c>
      <c r="F48" s="68">
        <f t="shared" si="8"/>
        <v>18.74466859</v>
      </c>
      <c r="G48" s="68">
        <f t="shared" si="8"/>
        <v>29.667000000000002</v>
      </c>
      <c r="H48" s="68">
        <f t="shared" si="8"/>
        <v>22.069000000000003</v>
      </c>
      <c r="I48" s="68">
        <f t="shared" si="8"/>
        <v>22.257000000000001</v>
      </c>
      <c r="J48" s="68">
        <f t="shared" si="8"/>
        <v>17.213999999999999</v>
      </c>
      <c r="K48" s="68">
        <f t="shared" si="8"/>
        <v>43.389616939999996</v>
      </c>
      <c r="L48" s="68">
        <f t="shared" si="8"/>
        <v>49.338000000000008</v>
      </c>
      <c r="M48" s="68">
        <f t="shared" si="8"/>
        <v>79.62921953</v>
      </c>
      <c r="N48" s="68">
        <f t="shared" si="8"/>
        <v>87.3613675</v>
      </c>
      <c r="O48" s="68">
        <f t="shared" si="8"/>
        <v>101.02071658</v>
      </c>
      <c r="P48" s="68">
        <f t="shared" si="8"/>
        <v>141.035</v>
      </c>
      <c r="Q48" s="68">
        <f t="shared" si="8"/>
        <v>220.708</v>
      </c>
      <c r="R48" s="68">
        <f t="shared" si="8"/>
        <v>219.27699999999999</v>
      </c>
      <c r="S48" s="68">
        <f t="shared" si="8"/>
        <v>121.45761048</v>
      </c>
      <c r="T48" s="68">
        <f t="shared" si="8"/>
        <v>209.10599999999999</v>
      </c>
      <c r="U48" s="68">
        <f t="shared" si="8"/>
        <v>346.52199999999999</v>
      </c>
      <c r="V48" s="68">
        <f t="shared" si="8"/>
        <v>387.06299999999999</v>
      </c>
      <c r="W48" s="68">
        <f t="shared" si="8"/>
        <v>750.08100000000002</v>
      </c>
      <c r="X48" s="68">
        <f t="shared" si="8"/>
        <v>778.66300000000001</v>
      </c>
      <c r="Y48" s="68">
        <f t="shared" si="8"/>
        <v>643.51599999999996</v>
      </c>
      <c r="Z48" s="68">
        <f t="shared" si="8"/>
        <v>1467.096</v>
      </c>
      <c r="AA48" s="68">
        <f t="shared" si="8"/>
        <v>731.63900000000001</v>
      </c>
      <c r="AB48" s="68">
        <f t="shared" si="8"/>
        <v>805.84799999999996</v>
      </c>
      <c r="AC48" s="68">
        <f t="shared" si="8"/>
        <v>715.57799999999997</v>
      </c>
      <c r="AD48" s="68">
        <f t="shared" si="8"/>
        <v>635.98</v>
      </c>
      <c r="AE48" s="68">
        <f t="shared" si="8"/>
        <v>872.96299999999997</v>
      </c>
      <c r="AF48" s="68">
        <f t="shared" si="8"/>
        <v>1591.9950000000001</v>
      </c>
    </row>
    <row r="49" spans="1:33" ht="15" x14ac:dyDescent="0.2">
      <c r="A49" s="43"/>
      <c r="B49" s="46"/>
      <c r="C49" s="46"/>
      <c r="D49" s="46"/>
      <c r="E49" s="4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6"/>
      <c r="S49" s="6"/>
      <c r="T49" s="6"/>
      <c r="U49" s="6"/>
      <c r="V49" s="6"/>
    </row>
    <row r="50" spans="1:33" ht="15.75" x14ac:dyDescent="0.25">
      <c r="A50" s="34" t="s">
        <v>40</v>
      </c>
      <c r="B50" s="35">
        <f>SUM(B51:B58)</f>
        <v>12.436982909999999</v>
      </c>
      <c r="C50" s="35">
        <v>18.564</v>
      </c>
      <c r="D50" s="35">
        <f>SUM(D51:D58)</f>
        <v>13.352912729999998</v>
      </c>
      <c r="E50" s="35">
        <v>15.685</v>
      </c>
      <c r="F50" s="35">
        <f>SUM(F51:F58)</f>
        <v>10.97517203</v>
      </c>
      <c r="G50" s="35">
        <v>12.188000000000001</v>
      </c>
      <c r="H50" s="35">
        <v>13.396000000000001</v>
      </c>
      <c r="I50" s="35">
        <v>14.926</v>
      </c>
      <c r="J50" s="35">
        <v>14.462999999999999</v>
      </c>
      <c r="K50" s="35">
        <f>SUM(K51:K58)</f>
        <v>16.077560259999998</v>
      </c>
      <c r="L50" s="35">
        <v>17.245000000000001</v>
      </c>
      <c r="M50" s="35">
        <f>SUM(M51:M58)</f>
        <v>20.8235557</v>
      </c>
      <c r="N50" s="35">
        <f>SUM(N51:N58)</f>
        <v>21.481382979999999</v>
      </c>
      <c r="O50" s="35">
        <f>SUM(O51:O58)</f>
        <v>26.580929189999999</v>
      </c>
      <c r="P50" s="35">
        <v>31.082000000000001</v>
      </c>
      <c r="Q50" s="35">
        <v>36.610999999999997</v>
      </c>
      <c r="R50" s="35">
        <v>42.424999999999997</v>
      </c>
      <c r="S50" s="35">
        <v>50.354999999999997</v>
      </c>
      <c r="T50" s="35">
        <f t="shared" ref="T50:AF50" si="9">SUM(T51:T58)</f>
        <v>54.850999999999999</v>
      </c>
      <c r="U50" s="35">
        <f t="shared" si="9"/>
        <v>53.113</v>
      </c>
      <c r="V50" s="35">
        <f t="shared" si="9"/>
        <v>50.518000000000001</v>
      </c>
      <c r="W50" s="35">
        <f t="shared" si="9"/>
        <v>116.711</v>
      </c>
      <c r="X50" s="35">
        <f t="shared" si="9"/>
        <v>157.59200000000001</v>
      </c>
      <c r="Y50" s="35">
        <f t="shared" si="9"/>
        <v>149.16</v>
      </c>
      <c r="Z50" s="35">
        <f t="shared" si="9"/>
        <v>226.953</v>
      </c>
      <c r="AA50" s="35">
        <f t="shared" si="9"/>
        <v>251.64</v>
      </c>
      <c r="AB50" s="35">
        <f t="shared" si="9"/>
        <v>304.94600000000003</v>
      </c>
      <c r="AC50" s="35">
        <f t="shared" si="9"/>
        <v>203.8</v>
      </c>
      <c r="AD50" s="35">
        <f t="shared" si="9"/>
        <v>271.70299999999997</v>
      </c>
      <c r="AE50" s="35">
        <f t="shared" si="9"/>
        <v>166.30199999999999</v>
      </c>
      <c r="AF50" s="35">
        <f t="shared" si="9"/>
        <v>166.27600000000001</v>
      </c>
    </row>
    <row r="51" spans="1:33" ht="15" x14ac:dyDescent="0.2">
      <c r="A51" s="18" t="s">
        <v>17</v>
      </c>
      <c r="B51" s="41">
        <v>1.607199</v>
      </c>
      <c r="C51" s="41"/>
      <c r="D51" s="41">
        <v>1.2889334399999999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64"/>
    </row>
    <row r="52" spans="1:33" ht="15" x14ac:dyDescent="0.2">
      <c r="A52" s="18" t="s">
        <v>18</v>
      </c>
      <c r="B52" s="41">
        <v>7.33678557</v>
      </c>
      <c r="C52" s="41"/>
      <c r="D52" s="41">
        <v>8.3772001300000003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64"/>
    </row>
    <row r="53" spans="1:33" ht="15" x14ac:dyDescent="0.2">
      <c r="A53" s="18" t="s">
        <v>19</v>
      </c>
      <c r="B53" s="41">
        <v>2.30817023</v>
      </c>
      <c r="C53" s="41"/>
      <c r="D53" s="41">
        <v>2.3169696099999997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64"/>
    </row>
    <row r="54" spans="1:33" ht="15" x14ac:dyDescent="0.2">
      <c r="A54" s="18" t="s">
        <v>20</v>
      </c>
      <c r="B54" s="41">
        <v>1.1848281100000002</v>
      </c>
      <c r="C54" s="41"/>
      <c r="D54" s="41">
        <v>1.36980955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64"/>
    </row>
    <row r="55" spans="1:33" ht="15" x14ac:dyDescent="0.2">
      <c r="A55" s="18" t="s">
        <v>27</v>
      </c>
      <c r="B55" s="41"/>
      <c r="C55" s="41"/>
      <c r="D55" s="41"/>
      <c r="E55" s="41"/>
      <c r="F55" s="41">
        <v>10.072443609999999</v>
      </c>
      <c r="G55" s="41"/>
      <c r="H55" s="41"/>
      <c r="I55" s="41"/>
      <c r="J55" s="41"/>
      <c r="K55" s="41">
        <v>12.855503649999999</v>
      </c>
      <c r="L55" s="41"/>
      <c r="M55" s="41">
        <v>18.01367329</v>
      </c>
      <c r="N55" s="41">
        <v>17.840244500000001</v>
      </c>
      <c r="O55" s="41">
        <v>21.976532089999999</v>
      </c>
      <c r="P55" s="41"/>
      <c r="Q55" s="41"/>
      <c r="R55" s="41"/>
      <c r="S55" s="41">
        <v>39.883676269999995</v>
      </c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64"/>
    </row>
    <row r="56" spans="1:33" ht="15" x14ac:dyDescent="0.2">
      <c r="A56" s="18" t="s">
        <v>28</v>
      </c>
      <c r="B56" s="41"/>
      <c r="C56" s="41"/>
      <c r="D56" s="41"/>
      <c r="E56" s="41"/>
      <c r="F56" s="41">
        <v>0.84415088000000005</v>
      </c>
      <c r="G56" s="41"/>
      <c r="H56" s="41"/>
      <c r="I56" s="41"/>
      <c r="J56" s="41"/>
      <c r="K56" s="41">
        <v>3.0080503599999999</v>
      </c>
      <c r="L56" s="41"/>
      <c r="M56" s="41">
        <v>2.6206735399999999</v>
      </c>
      <c r="N56" s="41">
        <v>3.3948072999999996</v>
      </c>
      <c r="O56" s="41">
        <v>4.4037776700000002</v>
      </c>
      <c r="P56" s="41"/>
      <c r="Q56" s="41"/>
      <c r="R56" s="41"/>
      <c r="S56" s="41">
        <v>9.5277586199999984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64"/>
    </row>
    <row r="57" spans="1:33" ht="15" x14ac:dyDescent="0.2">
      <c r="A57" s="18" t="s">
        <v>29</v>
      </c>
      <c r="B57" s="41"/>
      <c r="C57" s="41"/>
      <c r="D57" s="41"/>
      <c r="E57" s="41"/>
      <c r="F57" s="41">
        <v>5.8577540000000004E-2</v>
      </c>
      <c r="G57" s="41"/>
      <c r="H57" s="41"/>
      <c r="I57" s="41"/>
      <c r="J57" s="41"/>
      <c r="K57" s="41">
        <v>0.21400625000000001</v>
      </c>
      <c r="L57" s="41"/>
      <c r="M57" s="41">
        <v>0.18920887</v>
      </c>
      <c r="N57" s="41">
        <v>0.24633117999999998</v>
      </c>
      <c r="O57" s="41">
        <v>0.20061942999999999</v>
      </c>
      <c r="P57" s="41"/>
      <c r="Q57" s="41"/>
      <c r="R57" s="41"/>
      <c r="S57" s="41">
        <v>0.88169781999999997</v>
      </c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64"/>
    </row>
    <row r="58" spans="1:33" ht="15" x14ac:dyDescent="0.2">
      <c r="A58" s="18" t="s">
        <v>36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>
        <v>54.850999999999999</v>
      </c>
      <c r="U58" s="41">
        <v>53.113</v>
      </c>
      <c r="V58" s="41">
        <v>50.518000000000001</v>
      </c>
      <c r="W58" s="41">
        <v>116.711</v>
      </c>
      <c r="X58" s="41">
        <v>157.59200000000001</v>
      </c>
      <c r="Y58" s="41">
        <v>149.16</v>
      </c>
      <c r="Z58" s="41">
        <v>226.953</v>
      </c>
      <c r="AA58" s="41">
        <v>251.64</v>
      </c>
      <c r="AB58" s="41">
        <v>304.94600000000003</v>
      </c>
      <c r="AC58" s="41">
        <v>203.8</v>
      </c>
      <c r="AD58" s="41">
        <v>271.70299999999997</v>
      </c>
      <c r="AE58" s="41">
        <v>166.30199999999999</v>
      </c>
      <c r="AF58" s="41">
        <v>166.27600000000001</v>
      </c>
      <c r="AG58" s="64"/>
    </row>
    <row r="59" spans="1:33" ht="15" x14ac:dyDescent="0.2">
      <c r="A59" s="18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64"/>
    </row>
    <row r="60" spans="1:33" ht="15.75" x14ac:dyDescent="0.25">
      <c r="A60" s="34" t="s">
        <v>41</v>
      </c>
      <c r="B60" s="41">
        <v>3.4947546099999998</v>
      </c>
      <c r="C60" s="41">
        <v>8.9999999999999993E-3</v>
      </c>
      <c r="D60" s="41">
        <v>3.2744403799999997</v>
      </c>
      <c r="E60" s="41">
        <v>1.4999999999999999E-2</v>
      </c>
      <c r="F60" s="41">
        <v>7.7694965599999994</v>
      </c>
      <c r="G60" s="41">
        <v>17.478999999999999</v>
      </c>
      <c r="H60" s="41">
        <v>8.673</v>
      </c>
      <c r="I60" s="41">
        <v>7.3310000000000004</v>
      </c>
      <c r="J60" s="41">
        <v>2.7509999999999999</v>
      </c>
      <c r="K60" s="41">
        <v>27.312056679999998</v>
      </c>
      <c r="L60" s="41">
        <v>32.093000000000004</v>
      </c>
      <c r="M60" s="41">
        <v>58.80566383</v>
      </c>
      <c r="N60" s="41">
        <v>65.879984519999994</v>
      </c>
      <c r="O60" s="41">
        <v>74.439787390000006</v>
      </c>
      <c r="P60" s="41">
        <v>109.953</v>
      </c>
      <c r="Q60" s="41">
        <v>184.09700000000001</v>
      </c>
      <c r="R60" s="41">
        <v>176.852</v>
      </c>
      <c r="S60" s="41">
        <v>71.10261048000001</v>
      </c>
      <c r="T60" s="41">
        <v>154.255</v>
      </c>
      <c r="U60" s="41">
        <v>293.40899999999999</v>
      </c>
      <c r="V60" s="41">
        <v>336.54500000000002</v>
      </c>
      <c r="W60" s="41">
        <v>633.37</v>
      </c>
      <c r="X60" s="41">
        <v>621.07100000000003</v>
      </c>
      <c r="Y60" s="41">
        <v>494.35599999999999</v>
      </c>
      <c r="Z60" s="41">
        <v>1240.143</v>
      </c>
      <c r="AA60" s="41">
        <v>479.99900000000002</v>
      </c>
      <c r="AB60" s="41">
        <v>500.90199999999999</v>
      </c>
      <c r="AC60" s="41">
        <v>511.77800000000002</v>
      </c>
      <c r="AD60" s="41">
        <v>364.27699999999999</v>
      </c>
      <c r="AE60" s="41">
        <v>706.66099999999994</v>
      </c>
      <c r="AF60" s="41">
        <v>1425.7190000000001</v>
      </c>
      <c r="AG60" s="64"/>
    </row>
    <row r="61" spans="1:33" ht="15" x14ac:dyDescent="0.2">
      <c r="A61" s="18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64"/>
    </row>
    <row r="62" spans="1:33" ht="15" x14ac:dyDescent="0.2">
      <c r="A62" s="18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64"/>
    </row>
    <row r="63" spans="1:33" ht="15" x14ac:dyDescent="0.2">
      <c r="A63" s="18"/>
      <c r="B63" s="51"/>
      <c r="C63" s="51"/>
      <c r="D63" s="51"/>
      <c r="E63" s="5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0"/>
      <c r="S63" s="40"/>
      <c r="T63" s="40"/>
      <c r="U63" s="40"/>
      <c r="V63" s="40"/>
      <c r="W63" s="40"/>
      <c r="X63" s="40"/>
      <c r="Y63" s="40"/>
      <c r="Z63" s="41"/>
      <c r="AA63" s="41"/>
      <c r="AB63" s="41"/>
      <c r="AC63" s="41"/>
      <c r="AD63" s="41"/>
      <c r="AE63" s="41"/>
      <c r="AF63" s="41"/>
      <c r="AG63" s="64"/>
    </row>
    <row r="64" spans="1:33" s="13" customFormat="1" ht="15" x14ac:dyDescent="0.2">
      <c r="A64" s="45"/>
      <c r="B64" s="47"/>
      <c r="C64" s="47"/>
      <c r="D64" s="47"/>
      <c r="E64" s="47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4"/>
      <c r="S64" s="24"/>
      <c r="T64" s="24"/>
      <c r="U64" s="24"/>
      <c r="V64" s="24"/>
    </row>
    <row r="65" spans="1:32" ht="18" x14ac:dyDescent="0.25">
      <c r="A65" s="1" t="s">
        <v>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8" x14ac:dyDescent="0.25">
      <c r="A66" s="56" t="s">
        <v>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8" x14ac:dyDescent="0.25">
      <c r="A68" s="3"/>
      <c r="B68" s="4">
        <v>1960</v>
      </c>
      <c r="C68" s="4">
        <v>1961</v>
      </c>
      <c r="D68" s="4">
        <v>1962</v>
      </c>
      <c r="E68" s="4">
        <v>1963</v>
      </c>
      <c r="F68" s="4">
        <v>1964</v>
      </c>
      <c r="G68" s="4">
        <v>1965</v>
      </c>
      <c r="H68" s="4">
        <v>1966</v>
      </c>
      <c r="I68" s="4">
        <v>1967</v>
      </c>
      <c r="J68" s="4">
        <v>1968</v>
      </c>
      <c r="K68" s="4">
        <v>1969</v>
      </c>
      <c r="L68" s="4">
        <v>1970</v>
      </c>
      <c r="M68" s="4">
        <v>1971</v>
      </c>
      <c r="N68" s="4">
        <v>1972</v>
      </c>
      <c r="O68" s="4">
        <v>1973</v>
      </c>
      <c r="P68" s="4">
        <v>1974</v>
      </c>
      <c r="Q68" s="4">
        <v>1975</v>
      </c>
      <c r="R68" s="4">
        <v>1976</v>
      </c>
      <c r="S68" s="4">
        <v>1977</v>
      </c>
      <c r="T68" s="4">
        <v>1978</v>
      </c>
      <c r="U68" s="4">
        <v>1979</v>
      </c>
      <c r="V68" s="4">
        <v>1980</v>
      </c>
      <c r="W68" s="4">
        <v>1981</v>
      </c>
      <c r="X68" s="4">
        <v>1982</v>
      </c>
      <c r="Y68" s="4">
        <v>1983</v>
      </c>
      <c r="Z68" s="4">
        <v>1984</v>
      </c>
      <c r="AA68" s="4">
        <v>1985</v>
      </c>
      <c r="AB68" s="4">
        <v>1986</v>
      </c>
      <c r="AC68" s="4">
        <v>1987</v>
      </c>
      <c r="AD68" s="4">
        <v>1988</v>
      </c>
      <c r="AE68" s="4">
        <v>1989</v>
      </c>
      <c r="AF68" s="4">
        <v>1990</v>
      </c>
    </row>
    <row r="69" spans="1:32" ht="1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8" x14ac:dyDescent="0.2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 t="s">
        <v>1</v>
      </c>
      <c r="S70" s="3" t="s">
        <v>1</v>
      </c>
      <c r="T70" s="3" t="s">
        <v>1</v>
      </c>
      <c r="U70" s="3" t="s">
        <v>1</v>
      </c>
      <c r="V70" s="3" t="s">
        <v>1</v>
      </c>
      <c r="W70" s="3" t="s">
        <v>1</v>
      </c>
      <c r="X70" s="3" t="s">
        <v>1</v>
      </c>
      <c r="Y70" s="3" t="s">
        <v>1</v>
      </c>
      <c r="Z70" s="3" t="s">
        <v>1</v>
      </c>
      <c r="AA70" s="3" t="s">
        <v>1</v>
      </c>
      <c r="AB70" s="3" t="s">
        <v>1</v>
      </c>
      <c r="AC70" s="3" t="s">
        <v>1</v>
      </c>
      <c r="AD70" s="3" t="s">
        <v>1</v>
      </c>
      <c r="AE70" s="3" t="s">
        <v>1</v>
      </c>
      <c r="AF70" s="3" t="s">
        <v>1</v>
      </c>
    </row>
    <row r="71" spans="1:32" x14ac:dyDescent="0.2">
      <c r="A71" s="12"/>
      <c r="B71" s="13"/>
      <c r="C71" s="13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1:32" ht="15.75" x14ac:dyDescent="0.25">
      <c r="A72" s="15" t="s">
        <v>3</v>
      </c>
      <c r="B72" s="15"/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7"/>
      <c r="S72" s="17"/>
      <c r="T72" s="17"/>
      <c r="U72" s="17"/>
      <c r="V72" s="17"/>
      <c r="W72" s="17"/>
      <c r="X72" s="17"/>
      <c r="Y72" s="17"/>
      <c r="Z72" s="61"/>
      <c r="AA72" s="61"/>
      <c r="AB72" s="61"/>
      <c r="AC72" s="61"/>
      <c r="AD72" s="61"/>
      <c r="AE72" s="61"/>
      <c r="AF72" s="61"/>
    </row>
    <row r="73" spans="1:32" x14ac:dyDescent="0.2">
      <c r="A73" s="12"/>
      <c r="B73" s="13"/>
      <c r="C73" s="13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1:32" s="20" customFormat="1" ht="15" x14ac:dyDescent="0.2">
      <c r="A74" s="18" t="s">
        <v>43</v>
      </c>
      <c r="B74" s="69" t="e">
        <f t="shared" ref="B74:AF74" si="10">+B10/B$128*100</f>
        <v>#DIV/0!</v>
      </c>
      <c r="C74" s="69" t="e">
        <f t="shared" si="10"/>
        <v>#DIV/0!</v>
      </c>
      <c r="D74" s="69" t="e">
        <f t="shared" si="10"/>
        <v>#DIV/0!</v>
      </c>
      <c r="E74" s="69" t="e">
        <f t="shared" si="10"/>
        <v>#DIV/0!</v>
      </c>
      <c r="F74" s="69" t="e">
        <f t="shared" si="10"/>
        <v>#DIV/0!</v>
      </c>
      <c r="G74" s="69">
        <f t="shared" si="10"/>
        <v>11.02953105112279</v>
      </c>
      <c r="H74" s="69">
        <f t="shared" si="10"/>
        <v>9.9919528298771052</v>
      </c>
      <c r="I74" s="69">
        <f t="shared" si="10"/>
        <v>9.5978692833213817</v>
      </c>
      <c r="J74" s="69">
        <f t="shared" si="10"/>
        <v>9.2787583846682047</v>
      </c>
      <c r="K74" s="69">
        <f t="shared" si="10"/>
        <v>10.644819540020576</v>
      </c>
      <c r="L74" s="69">
        <f t="shared" si="10"/>
        <v>11.083995332826349</v>
      </c>
      <c r="M74" s="69">
        <f t="shared" si="10"/>
        <v>12.092744470152583</v>
      </c>
      <c r="N74" s="69">
        <f t="shared" si="10"/>
        <v>12.415987867641649</v>
      </c>
      <c r="O74" s="69">
        <f t="shared" si="10"/>
        <v>13.231314686966309</v>
      </c>
      <c r="P74" s="69">
        <f t="shared" si="10"/>
        <v>14.269899212285528</v>
      </c>
      <c r="Q74" s="69">
        <f t="shared" si="10"/>
        <v>16.178013280575904</v>
      </c>
      <c r="R74" s="69">
        <f t="shared" si="10"/>
        <v>16.953905159435067</v>
      </c>
      <c r="S74" s="69">
        <f t="shared" si="10"/>
        <v>17.009912096316608</v>
      </c>
      <c r="T74" s="69">
        <f t="shared" si="10"/>
        <v>15.104860675967725</v>
      </c>
      <c r="U74" s="69">
        <f t="shared" si="10"/>
        <v>17.424432603400835</v>
      </c>
      <c r="V74" s="69">
        <f t="shared" si="10"/>
        <v>15.404056436111668</v>
      </c>
      <c r="W74" s="69">
        <f t="shared" si="10"/>
        <v>20.253972986502212</v>
      </c>
      <c r="X74" s="69">
        <f t="shared" si="10"/>
        <v>20.368375504616676</v>
      </c>
      <c r="Y74" s="69">
        <f t="shared" si="10"/>
        <v>19.659567142768893</v>
      </c>
      <c r="Z74" s="69">
        <f t="shared" si="10"/>
        <v>30.780705945249114</v>
      </c>
      <c r="AA74" s="69">
        <f t="shared" si="10"/>
        <v>25.166085205524546</v>
      </c>
      <c r="AB74" s="69">
        <f t="shared" si="10"/>
        <v>19.169565525710897</v>
      </c>
      <c r="AC74" s="69">
        <f t="shared" si="10"/>
        <v>16.334464851316277</v>
      </c>
      <c r="AD74" s="69">
        <f t="shared" si="10"/>
        <v>15.121344764050518</v>
      </c>
      <c r="AE74" s="69">
        <f t="shared" si="10"/>
        <v>15.233641399132383</v>
      </c>
      <c r="AF74" s="69">
        <f t="shared" si="10"/>
        <v>14.526925948423667</v>
      </c>
    </row>
    <row r="75" spans="1:32" s="20" customFormat="1" ht="15" x14ac:dyDescent="0.2">
      <c r="A75" s="12"/>
      <c r="B75" s="13"/>
      <c r="C75" s="13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22" customFormat="1" ht="15" x14ac:dyDescent="0.2">
      <c r="A76" s="18" t="s">
        <v>44</v>
      </c>
      <c r="B76" s="69" t="e">
        <f t="shared" ref="B76:AF76" si="11">+B12/B$128*100</f>
        <v>#DIV/0!</v>
      </c>
      <c r="C76" s="69" t="e">
        <f t="shared" si="11"/>
        <v>#DIV/0!</v>
      </c>
      <c r="D76" s="69" t="e">
        <f t="shared" si="11"/>
        <v>#DIV/0!</v>
      </c>
      <c r="E76" s="69" t="e">
        <f t="shared" si="11"/>
        <v>#DIV/0!</v>
      </c>
      <c r="F76" s="69" t="e">
        <f t="shared" si="11"/>
        <v>#DIV/0!</v>
      </c>
      <c r="G76" s="69">
        <f t="shared" si="11"/>
        <v>10.23296722714646</v>
      </c>
      <c r="H76" s="69">
        <f t="shared" si="11"/>
        <v>9.6187279398350967</v>
      </c>
      <c r="I76" s="69">
        <f t="shared" si="11"/>
        <v>9.2974800190066365</v>
      </c>
      <c r="J76" s="69">
        <f t="shared" si="11"/>
        <v>9.1697820050964864</v>
      </c>
      <c r="K76" s="69">
        <f t="shared" si="11"/>
        <v>9.6037653504412823</v>
      </c>
      <c r="L76" s="69">
        <f t="shared" si="11"/>
        <v>9.9508879649365003</v>
      </c>
      <c r="M76" s="69">
        <f t="shared" si="11"/>
        <v>10.109617506488796</v>
      </c>
      <c r="N76" s="69">
        <f t="shared" si="11"/>
        <v>10.330727828690973</v>
      </c>
      <c r="O76" s="69">
        <f t="shared" si="11"/>
        <v>11.16687233111208</v>
      </c>
      <c r="P76" s="69">
        <f t="shared" si="11"/>
        <v>11.629778888662646</v>
      </c>
      <c r="Q76" s="69">
        <f t="shared" si="11"/>
        <v>12.269621241236162</v>
      </c>
      <c r="R76" s="69">
        <f t="shared" si="11"/>
        <v>13.915576566582343</v>
      </c>
      <c r="S76" s="69">
        <f t="shared" si="11"/>
        <v>16.043069001133077</v>
      </c>
      <c r="T76" s="69">
        <f t="shared" si="11"/>
        <v>13.132265118479777</v>
      </c>
      <c r="U76" s="69">
        <f t="shared" si="11"/>
        <v>14.035985669295473</v>
      </c>
      <c r="V76" s="69">
        <f t="shared" si="11"/>
        <v>11.637422121048424</v>
      </c>
      <c r="W76" s="69">
        <f t="shared" si="11"/>
        <v>12.883206512090858</v>
      </c>
      <c r="X76" s="69">
        <f t="shared" si="11"/>
        <v>13.05991478967734</v>
      </c>
      <c r="Y76" s="69">
        <f t="shared" si="11"/>
        <v>14.020012504178849</v>
      </c>
      <c r="Z76" s="69">
        <f t="shared" si="11"/>
        <v>17.233461527558607</v>
      </c>
      <c r="AA76" s="69">
        <f t="shared" si="11"/>
        <v>20.113954209599566</v>
      </c>
      <c r="AB76" s="69">
        <f t="shared" si="11"/>
        <v>16.432497173366752</v>
      </c>
      <c r="AC76" s="69">
        <f t="shared" si="11"/>
        <v>13.748451319082768</v>
      </c>
      <c r="AD76" s="69">
        <f t="shared" si="11"/>
        <v>13.382502601506484</v>
      </c>
      <c r="AE76" s="69">
        <f t="shared" si="11"/>
        <v>12.001133612976471</v>
      </c>
      <c r="AF76" s="69">
        <f t="shared" si="11"/>
        <v>10.205535392689583</v>
      </c>
    </row>
    <row r="77" spans="1:32" x14ac:dyDescent="0.2">
      <c r="A77" s="23"/>
      <c r="B77" s="24"/>
      <c r="C77" s="24"/>
      <c r="D77" s="24"/>
      <c r="E77" s="2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24"/>
      <c r="S77" s="24"/>
      <c r="T77" s="24"/>
      <c r="U77" s="24"/>
      <c r="V77" s="25"/>
    </row>
    <row r="78" spans="1:32" ht="15.75" x14ac:dyDescent="0.25">
      <c r="A78" s="15" t="s">
        <v>38</v>
      </c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8"/>
      <c r="S78" s="28"/>
      <c r="T78" s="28"/>
      <c r="U78" s="28"/>
      <c r="V78" s="28"/>
      <c r="W78" s="28"/>
      <c r="X78" s="28"/>
      <c r="Y78" s="28"/>
      <c r="Z78" s="62"/>
      <c r="AA78" s="62"/>
      <c r="AB78" s="62"/>
      <c r="AC78" s="62"/>
      <c r="AD78" s="62"/>
      <c r="AE78" s="62"/>
      <c r="AF78" s="62"/>
    </row>
    <row r="79" spans="1:32" s="7" customFormat="1" x14ac:dyDescent="0.2">
      <c r="A79" s="29"/>
      <c r="B79" s="24"/>
      <c r="C79" s="24"/>
      <c r="D79" s="24"/>
      <c r="E79" s="24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52"/>
      <c r="S79" s="31"/>
      <c r="T79" s="31"/>
      <c r="U79" s="32"/>
      <c r="V79" s="33"/>
    </row>
    <row r="80" spans="1:32" s="36" customFormat="1" ht="15" x14ac:dyDescent="0.2">
      <c r="A80" s="67" t="s">
        <v>39</v>
      </c>
      <c r="B80" s="70" t="e">
        <f t="shared" ref="B80:AF80" si="12">+B16/B$128*100</f>
        <v>#DIV/0!</v>
      </c>
      <c r="C80" s="70" t="e">
        <f t="shared" si="12"/>
        <v>#DIV/0!</v>
      </c>
      <c r="D80" s="70" t="e">
        <f t="shared" si="12"/>
        <v>#DIV/0!</v>
      </c>
      <c r="E80" s="70" t="e">
        <f t="shared" si="12"/>
        <v>#DIV/0!</v>
      </c>
      <c r="F80" s="70" t="e">
        <f t="shared" si="12"/>
        <v>#DIV/0!</v>
      </c>
      <c r="G80" s="70">
        <f t="shared" si="12"/>
        <v>9.6775281352863143</v>
      </c>
      <c r="H80" s="70">
        <f t="shared" si="12"/>
        <v>9.0422583644859955</v>
      </c>
      <c r="I80" s="70">
        <f t="shared" si="12"/>
        <v>8.6858840349441735</v>
      </c>
      <c r="J80" s="70">
        <f t="shared" si="12"/>
        <v>8.5968538416120239</v>
      </c>
      <c r="K80" s="70">
        <f t="shared" si="12"/>
        <v>8.9909366769000805</v>
      </c>
      <c r="L80" s="70">
        <f t="shared" si="12"/>
        <v>9.3420188483297508</v>
      </c>
      <c r="M80" s="70">
        <f t="shared" si="12"/>
        <v>9.4073763940101465</v>
      </c>
      <c r="N80" s="70">
        <f t="shared" si="12"/>
        <v>9.6507903661071683</v>
      </c>
      <c r="O80" s="70">
        <f t="shared" si="12"/>
        <v>10.429702089204996</v>
      </c>
      <c r="P80" s="70">
        <f t="shared" si="12"/>
        <v>10.883458007023707</v>
      </c>
      <c r="Q80" s="70">
        <f t="shared" si="12"/>
        <v>11.492367179777977</v>
      </c>
      <c r="R80" s="70">
        <f t="shared" si="12"/>
        <v>13.186712371934975</v>
      </c>
      <c r="S80" s="70">
        <f t="shared" si="12"/>
        <v>15.358348936295776</v>
      </c>
      <c r="T80" s="70">
        <f t="shared" si="12"/>
        <v>12.430836711466901</v>
      </c>
      <c r="U80" s="70">
        <f t="shared" si="12"/>
        <v>13.422607817862362</v>
      </c>
      <c r="V80" s="70">
        <f t="shared" si="12"/>
        <v>11.072021261346556</v>
      </c>
      <c r="W80" s="70">
        <f t="shared" si="12"/>
        <v>11.524996420051412</v>
      </c>
      <c r="X80" s="70">
        <f t="shared" si="12"/>
        <v>11.205448970167621</v>
      </c>
      <c r="Y80" s="70">
        <f t="shared" si="12"/>
        <v>12.318412908154746</v>
      </c>
      <c r="Z80" s="70">
        <f t="shared" si="12"/>
        <v>14.754241177705312</v>
      </c>
      <c r="AA80" s="70">
        <f t="shared" si="12"/>
        <v>17.465369017100084</v>
      </c>
      <c r="AB80" s="70">
        <f t="shared" si="12"/>
        <v>14.76618710518188</v>
      </c>
      <c r="AC80" s="70">
        <f t="shared" si="12"/>
        <v>12.718650198539896</v>
      </c>
      <c r="AD80" s="70">
        <f t="shared" si="12"/>
        <v>12.085553762876261</v>
      </c>
      <c r="AE80" s="70">
        <f t="shared" si="12"/>
        <v>11.240411697017757</v>
      </c>
      <c r="AF80" s="70">
        <f t="shared" si="12"/>
        <v>9.7015486070430139</v>
      </c>
    </row>
    <row r="81" spans="1:32" s="37" customFormat="1" ht="15" x14ac:dyDescent="0.2">
      <c r="A81" s="29"/>
      <c r="B81" s="24"/>
      <c r="C81" s="24"/>
      <c r="D81" s="24"/>
      <c r="E81" s="24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52"/>
      <c r="S81" s="31"/>
      <c r="T81" s="31"/>
      <c r="U81" s="32"/>
      <c r="V81" s="33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s="37" customFormat="1" ht="15.75" x14ac:dyDescent="0.25">
      <c r="A82" s="34" t="s">
        <v>32</v>
      </c>
      <c r="B82" s="35" t="e">
        <f t="shared" ref="B82:AF82" si="13">+B18/B$128*100</f>
        <v>#DIV/0!</v>
      </c>
      <c r="C82" s="35" t="e">
        <f t="shared" si="13"/>
        <v>#DIV/0!</v>
      </c>
      <c r="D82" s="35" t="e">
        <f t="shared" si="13"/>
        <v>#DIV/0!</v>
      </c>
      <c r="E82" s="35" t="e">
        <f t="shared" si="13"/>
        <v>#DIV/0!</v>
      </c>
      <c r="F82" s="35" t="e">
        <f t="shared" si="13"/>
        <v>#DIV/0!</v>
      </c>
      <c r="G82" s="35">
        <f t="shared" si="13"/>
        <v>0</v>
      </c>
      <c r="H82" s="35">
        <f t="shared" si="13"/>
        <v>0</v>
      </c>
      <c r="I82" s="35">
        <f t="shared" si="13"/>
        <v>0</v>
      </c>
      <c r="J82" s="35">
        <f t="shared" si="13"/>
        <v>0</v>
      </c>
      <c r="K82" s="35">
        <f t="shared" si="13"/>
        <v>1.4508635302901449</v>
      </c>
      <c r="L82" s="35">
        <f t="shared" si="13"/>
        <v>0</v>
      </c>
      <c r="M82" s="35">
        <f t="shared" si="13"/>
        <v>1.5282864212095679</v>
      </c>
      <c r="N82" s="35">
        <f t="shared" si="13"/>
        <v>1.6487298934432595</v>
      </c>
      <c r="O82" s="35">
        <f t="shared" si="13"/>
        <v>1.7367980809710735</v>
      </c>
      <c r="P82" s="35">
        <f t="shared" si="13"/>
        <v>0</v>
      </c>
      <c r="Q82" s="35">
        <f t="shared" si="13"/>
        <v>0</v>
      </c>
      <c r="R82" s="35">
        <f t="shared" si="13"/>
        <v>0</v>
      </c>
      <c r="S82" s="35">
        <f t="shared" si="13"/>
        <v>2.2321378076128346</v>
      </c>
      <c r="T82" s="35">
        <f t="shared" si="13"/>
        <v>2.5803271141574702</v>
      </c>
      <c r="U82" s="35">
        <f t="shared" si="13"/>
        <v>2.2274832900498693</v>
      </c>
      <c r="V82" s="35">
        <f t="shared" si="13"/>
        <v>2.6316243783261255</v>
      </c>
      <c r="W82" s="35">
        <f t="shared" si="13"/>
        <v>2.6322237500160739</v>
      </c>
      <c r="X82" s="35">
        <f t="shared" si="13"/>
        <v>2.6433363180647995</v>
      </c>
      <c r="Y82" s="35">
        <f t="shared" si="13"/>
        <v>2.6782055105885387</v>
      </c>
      <c r="Z82" s="35">
        <f t="shared" si="13"/>
        <v>2.9215196485856749</v>
      </c>
      <c r="AA82" s="35">
        <f t="shared" si="13"/>
        <v>3.1339696891506792</v>
      </c>
      <c r="AB82" s="35">
        <f t="shared" si="13"/>
        <v>2.3650711567033125</v>
      </c>
      <c r="AC82" s="35">
        <f t="shared" si="13"/>
        <v>2.8324482753585114</v>
      </c>
      <c r="AD82" s="35">
        <f t="shared" si="13"/>
        <v>2.6769215347456252</v>
      </c>
      <c r="AE82" s="35">
        <f t="shared" si="13"/>
        <v>2.6594481749331971</v>
      </c>
      <c r="AF82" s="35">
        <f t="shared" si="13"/>
        <v>2.1989665205536979</v>
      </c>
    </row>
    <row r="83" spans="1:32" s="37" customFormat="1" ht="15" x14ac:dyDescent="0.2">
      <c r="A83" s="18" t="s">
        <v>9</v>
      </c>
      <c r="B83" s="69" t="e">
        <f t="shared" ref="B83:AF83" si="14">+B19/B$128*100</f>
        <v>#DIV/0!</v>
      </c>
      <c r="C83" s="69" t="e">
        <f t="shared" si="14"/>
        <v>#DIV/0!</v>
      </c>
      <c r="D83" s="69" t="e">
        <f t="shared" si="14"/>
        <v>#DIV/0!</v>
      </c>
      <c r="E83" s="69" t="e">
        <f t="shared" si="14"/>
        <v>#DIV/0!</v>
      </c>
      <c r="F83" s="69" t="e">
        <f t="shared" si="14"/>
        <v>#DIV/0!</v>
      </c>
      <c r="G83" s="69">
        <f t="shared" si="14"/>
        <v>0</v>
      </c>
      <c r="H83" s="69">
        <f t="shared" si="14"/>
        <v>0</v>
      </c>
      <c r="I83" s="69">
        <f t="shared" si="14"/>
        <v>0</v>
      </c>
      <c r="J83" s="69">
        <f t="shared" si="14"/>
        <v>0</v>
      </c>
      <c r="K83" s="69">
        <f t="shared" si="14"/>
        <v>0</v>
      </c>
      <c r="L83" s="69">
        <f t="shared" si="14"/>
        <v>0</v>
      </c>
      <c r="M83" s="69">
        <f t="shared" si="14"/>
        <v>0</v>
      </c>
      <c r="N83" s="69">
        <f t="shared" si="14"/>
        <v>0</v>
      </c>
      <c r="O83" s="69">
        <f t="shared" si="14"/>
        <v>0</v>
      </c>
      <c r="P83" s="69">
        <f t="shared" si="14"/>
        <v>0</v>
      </c>
      <c r="Q83" s="69">
        <f t="shared" si="14"/>
        <v>0</v>
      </c>
      <c r="R83" s="69">
        <f t="shared" si="14"/>
        <v>0</v>
      </c>
      <c r="S83" s="69">
        <f t="shared" si="14"/>
        <v>0</v>
      </c>
      <c r="T83" s="69">
        <f t="shared" si="14"/>
        <v>0</v>
      </c>
      <c r="U83" s="69">
        <f t="shared" si="14"/>
        <v>0</v>
      </c>
      <c r="V83" s="69">
        <f t="shared" si="14"/>
        <v>0</v>
      </c>
      <c r="W83" s="69">
        <f t="shared" si="14"/>
        <v>0</v>
      </c>
      <c r="X83" s="69">
        <f t="shared" si="14"/>
        <v>0</v>
      </c>
      <c r="Y83" s="69">
        <f t="shared" si="14"/>
        <v>0</v>
      </c>
      <c r="Z83" s="69">
        <f t="shared" si="14"/>
        <v>0</v>
      </c>
      <c r="AA83" s="69">
        <f t="shared" si="14"/>
        <v>0</v>
      </c>
      <c r="AB83" s="69">
        <f t="shared" si="14"/>
        <v>0</v>
      </c>
      <c r="AC83" s="69">
        <f t="shared" si="14"/>
        <v>0</v>
      </c>
      <c r="AD83" s="69">
        <f t="shared" si="14"/>
        <v>0</v>
      </c>
      <c r="AE83" s="69">
        <f t="shared" si="14"/>
        <v>0</v>
      </c>
      <c r="AF83" s="69">
        <f t="shared" si="14"/>
        <v>0</v>
      </c>
    </row>
    <row r="84" spans="1:32" s="37" customFormat="1" ht="15" x14ac:dyDescent="0.2">
      <c r="A84" s="18" t="s">
        <v>22</v>
      </c>
      <c r="B84" s="69" t="e">
        <f t="shared" ref="B84:AF84" si="15">+B20/B$128*100</f>
        <v>#DIV/0!</v>
      </c>
      <c r="C84" s="69" t="e">
        <f t="shared" si="15"/>
        <v>#DIV/0!</v>
      </c>
      <c r="D84" s="69" t="e">
        <f t="shared" si="15"/>
        <v>#DIV/0!</v>
      </c>
      <c r="E84" s="69" t="e">
        <f t="shared" si="15"/>
        <v>#DIV/0!</v>
      </c>
      <c r="F84" s="69" t="e">
        <f t="shared" si="15"/>
        <v>#DIV/0!</v>
      </c>
      <c r="G84" s="69">
        <f t="shared" si="15"/>
        <v>0</v>
      </c>
      <c r="H84" s="69">
        <f t="shared" si="15"/>
        <v>0</v>
      </c>
      <c r="I84" s="69">
        <f t="shared" si="15"/>
        <v>0</v>
      </c>
      <c r="J84" s="69">
        <f t="shared" si="15"/>
        <v>0</v>
      </c>
      <c r="K84" s="69">
        <f t="shared" si="15"/>
        <v>1.4508635302901449</v>
      </c>
      <c r="L84" s="69">
        <f t="shared" si="15"/>
        <v>0</v>
      </c>
      <c r="M84" s="69">
        <f t="shared" si="15"/>
        <v>1.5282864212095679</v>
      </c>
      <c r="N84" s="69">
        <f t="shared" si="15"/>
        <v>1.6487298934432595</v>
      </c>
      <c r="O84" s="69">
        <f t="shared" si="15"/>
        <v>1.7367980809710735</v>
      </c>
      <c r="P84" s="69">
        <f t="shared" si="15"/>
        <v>0</v>
      </c>
      <c r="Q84" s="69">
        <f t="shared" si="15"/>
        <v>0</v>
      </c>
      <c r="R84" s="69">
        <f t="shared" si="15"/>
        <v>0</v>
      </c>
      <c r="S84" s="69">
        <f t="shared" si="15"/>
        <v>2.2321378076128346</v>
      </c>
      <c r="T84" s="69">
        <f t="shared" si="15"/>
        <v>2.5803271141574702</v>
      </c>
      <c r="U84" s="69">
        <f t="shared" si="15"/>
        <v>2.2274832900498693</v>
      </c>
      <c r="V84" s="69">
        <f t="shared" si="15"/>
        <v>2.6316243783261255</v>
      </c>
      <c r="W84" s="69">
        <f t="shared" si="15"/>
        <v>2.6322237500160739</v>
      </c>
      <c r="X84" s="69">
        <f t="shared" si="15"/>
        <v>2.6433363180647995</v>
      </c>
      <c r="Y84" s="69">
        <f t="shared" si="15"/>
        <v>2.6782055105885387</v>
      </c>
      <c r="Z84" s="69">
        <f t="shared" si="15"/>
        <v>2.9215196485856749</v>
      </c>
      <c r="AA84" s="69">
        <f t="shared" si="15"/>
        <v>3.1339696891506792</v>
      </c>
      <c r="AB84" s="69">
        <f t="shared" si="15"/>
        <v>2.3650711567033125</v>
      </c>
      <c r="AC84" s="69">
        <f t="shared" si="15"/>
        <v>2.8324482753585114</v>
      </c>
      <c r="AD84" s="69">
        <f t="shared" si="15"/>
        <v>2.6769215347456252</v>
      </c>
      <c r="AE84" s="69">
        <f t="shared" si="15"/>
        <v>2.6594481749331971</v>
      </c>
      <c r="AF84" s="69">
        <f t="shared" si="15"/>
        <v>2.1989665205536979</v>
      </c>
    </row>
    <row r="85" spans="1:32" s="37" customFormat="1" ht="15" x14ac:dyDescent="0.2">
      <c r="A85" s="29"/>
      <c r="B85" s="24"/>
      <c r="C85" s="24"/>
      <c r="D85" s="24"/>
      <c r="E85" s="24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1"/>
      <c r="S85" s="31"/>
      <c r="T85" s="31"/>
      <c r="U85" s="32"/>
      <c r="V85" s="38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s="7" customFormat="1" ht="15.75" x14ac:dyDescent="0.25">
      <c r="A86" s="34" t="s">
        <v>4</v>
      </c>
      <c r="B86" s="35" t="e">
        <f t="shared" ref="B86:AF86" si="16">+B22/B$128*100</f>
        <v>#DIV/0!</v>
      </c>
      <c r="C86" s="35" t="e">
        <f t="shared" si="16"/>
        <v>#DIV/0!</v>
      </c>
      <c r="D86" s="35" t="e">
        <f t="shared" si="16"/>
        <v>#DIV/0!</v>
      </c>
      <c r="E86" s="35" t="e">
        <f t="shared" si="16"/>
        <v>#DIV/0!</v>
      </c>
      <c r="F86" s="35" t="e">
        <f t="shared" si="16"/>
        <v>#DIV/0!</v>
      </c>
      <c r="G86" s="35">
        <f t="shared" si="16"/>
        <v>0</v>
      </c>
      <c r="H86" s="35">
        <f t="shared" si="16"/>
        <v>0</v>
      </c>
      <c r="I86" s="35">
        <f t="shared" si="16"/>
        <v>0</v>
      </c>
      <c r="J86" s="35">
        <f t="shared" si="16"/>
        <v>0</v>
      </c>
      <c r="K86" s="35">
        <f t="shared" si="16"/>
        <v>0.94610526072450363</v>
      </c>
      <c r="L86" s="35">
        <f t="shared" si="16"/>
        <v>0</v>
      </c>
      <c r="M86" s="35">
        <f t="shared" si="16"/>
        <v>0.82589237816733818</v>
      </c>
      <c r="N86" s="35">
        <f t="shared" si="16"/>
        <v>0.743875602225331</v>
      </c>
      <c r="O86" s="35">
        <f t="shared" si="16"/>
        <v>0.85435128659046133</v>
      </c>
      <c r="P86" s="35">
        <f t="shared" si="16"/>
        <v>0</v>
      </c>
      <c r="Q86" s="35">
        <f t="shared" si="16"/>
        <v>0</v>
      </c>
      <c r="R86" s="35">
        <f t="shared" si="16"/>
        <v>0</v>
      </c>
      <c r="S86" s="35">
        <f t="shared" si="16"/>
        <v>0.99668208017697313</v>
      </c>
      <c r="T86" s="35">
        <f t="shared" si="16"/>
        <v>1.0713436233199913</v>
      </c>
      <c r="U86" s="35">
        <f t="shared" si="16"/>
        <v>0.97473181320032742</v>
      </c>
      <c r="V86" s="35">
        <f t="shared" si="16"/>
        <v>0.86040137159904917</v>
      </c>
      <c r="W86" s="35">
        <f t="shared" si="16"/>
        <v>0.82649826448863806</v>
      </c>
      <c r="X86" s="35">
        <f t="shared" si="16"/>
        <v>0.8206545496395008</v>
      </c>
      <c r="Y86" s="35">
        <f t="shared" si="16"/>
        <v>0.81397515671434528</v>
      </c>
      <c r="Z86" s="35">
        <f t="shared" si="16"/>
        <v>0.80461352830231025</v>
      </c>
      <c r="AA86" s="35">
        <f t="shared" si="16"/>
        <v>0.91530068951732757</v>
      </c>
      <c r="AB86" s="35">
        <f t="shared" si="16"/>
        <v>1.1690169517466531</v>
      </c>
      <c r="AC86" s="35">
        <f t="shared" si="16"/>
        <v>0.76081484453767567</v>
      </c>
      <c r="AD86" s="35">
        <f t="shared" si="16"/>
        <v>0.85114132146982724</v>
      </c>
      <c r="AE86" s="35">
        <f t="shared" si="16"/>
        <v>0.80808463389257168</v>
      </c>
      <c r="AF86" s="35">
        <f t="shared" si="16"/>
        <v>0.59765456474178358</v>
      </c>
    </row>
    <row r="87" spans="1:32" s="36" customFormat="1" ht="15" x14ac:dyDescent="0.2">
      <c r="A87" s="18" t="s">
        <v>10</v>
      </c>
      <c r="B87" s="69" t="e">
        <f t="shared" ref="B87:AF87" si="17">+B23/B$128*100</f>
        <v>#DIV/0!</v>
      </c>
      <c r="C87" s="69" t="e">
        <f t="shared" si="17"/>
        <v>#DIV/0!</v>
      </c>
      <c r="D87" s="69" t="e">
        <f t="shared" si="17"/>
        <v>#DIV/0!</v>
      </c>
      <c r="E87" s="69" t="e">
        <f t="shared" si="17"/>
        <v>#DIV/0!</v>
      </c>
      <c r="F87" s="69" t="e">
        <f t="shared" si="17"/>
        <v>#DIV/0!</v>
      </c>
      <c r="G87" s="69">
        <f t="shared" si="17"/>
        <v>0</v>
      </c>
      <c r="H87" s="69">
        <f t="shared" si="17"/>
        <v>0</v>
      </c>
      <c r="I87" s="69">
        <f t="shared" si="17"/>
        <v>0</v>
      </c>
      <c r="J87" s="69">
        <f t="shared" si="17"/>
        <v>0</v>
      </c>
      <c r="K87" s="69">
        <f t="shared" si="17"/>
        <v>0</v>
      </c>
      <c r="L87" s="69">
        <f t="shared" si="17"/>
        <v>0</v>
      </c>
      <c r="M87" s="69">
        <f t="shared" si="17"/>
        <v>0</v>
      </c>
      <c r="N87" s="69">
        <f t="shared" si="17"/>
        <v>0</v>
      </c>
      <c r="O87" s="69">
        <f t="shared" si="17"/>
        <v>0</v>
      </c>
      <c r="P87" s="69">
        <f t="shared" si="17"/>
        <v>0</v>
      </c>
      <c r="Q87" s="69">
        <f t="shared" si="17"/>
        <v>0</v>
      </c>
      <c r="R87" s="69">
        <f t="shared" si="17"/>
        <v>0</v>
      </c>
      <c r="S87" s="69">
        <f t="shared" si="17"/>
        <v>0</v>
      </c>
      <c r="T87" s="69">
        <f t="shared" si="17"/>
        <v>0</v>
      </c>
      <c r="U87" s="69">
        <f t="shared" si="17"/>
        <v>0</v>
      </c>
      <c r="V87" s="69">
        <f t="shared" si="17"/>
        <v>0</v>
      </c>
      <c r="W87" s="69">
        <f t="shared" si="17"/>
        <v>0</v>
      </c>
      <c r="X87" s="69">
        <f t="shared" si="17"/>
        <v>0</v>
      </c>
      <c r="Y87" s="69">
        <f t="shared" si="17"/>
        <v>0</v>
      </c>
      <c r="Z87" s="69">
        <f t="shared" si="17"/>
        <v>0</v>
      </c>
      <c r="AA87" s="69">
        <f t="shared" si="17"/>
        <v>0</v>
      </c>
      <c r="AB87" s="69">
        <f t="shared" si="17"/>
        <v>0</v>
      </c>
      <c r="AC87" s="69">
        <f t="shared" si="17"/>
        <v>0</v>
      </c>
      <c r="AD87" s="69">
        <f t="shared" si="17"/>
        <v>0</v>
      </c>
      <c r="AE87" s="69">
        <f t="shared" si="17"/>
        <v>0</v>
      </c>
      <c r="AF87" s="69">
        <f t="shared" si="17"/>
        <v>0</v>
      </c>
    </row>
    <row r="88" spans="1:32" s="37" customFormat="1" ht="15" x14ac:dyDescent="0.2">
      <c r="A88" s="18" t="s">
        <v>23</v>
      </c>
      <c r="B88" s="69" t="e">
        <f t="shared" ref="B88:AF88" si="18">+B24/B$128*100</f>
        <v>#DIV/0!</v>
      </c>
      <c r="C88" s="69" t="e">
        <f t="shared" si="18"/>
        <v>#DIV/0!</v>
      </c>
      <c r="D88" s="69" t="e">
        <f t="shared" si="18"/>
        <v>#DIV/0!</v>
      </c>
      <c r="E88" s="69" t="e">
        <f t="shared" si="18"/>
        <v>#DIV/0!</v>
      </c>
      <c r="F88" s="69" t="e">
        <f t="shared" si="18"/>
        <v>#DIV/0!</v>
      </c>
      <c r="G88" s="69">
        <f t="shared" si="18"/>
        <v>0</v>
      </c>
      <c r="H88" s="69">
        <f t="shared" si="18"/>
        <v>0</v>
      </c>
      <c r="I88" s="69">
        <f t="shared" si="18"/>
        <v>0</v>
      </c>
      <c r="J88" s="69">
        <f t="shared" si="18"/>
        <v>0</v>
      </c>
      <c r="K88" s="69">
        <f t="shared" si="18"/>
        <v>0.6732042412579794</v>
      </c>
      <c r="L88" s="69">
        <f t="shared" si="18"/>
        <v>0</v>
      </c>
      <c r="M88" s="69">
        <f t="shared" si="18"/>
        <v>0.56911598748020098</v>
      </c>
      <c r="N88" s="69">
        <f t="shared" si="18"/>
        <v>0.52701996063984879</v>
      </c>
      <c r="O88" s="69">
        <f t="shared" si="18"/>
        <v>0.51424573581987676</v>
      </c>
      <c r="P88" s="69">
        <f t="shared" si="18"/>
        <v>0</v>
      </c>
      <c r="Q88" s="69">
        <f t="shared" si="18"/>
        <v>0</v>
      </c>
      <c r="R88" s="69">
        <f t="shared" si="18"/>
        <v>0</v>
      </c>
      <c r="S88" s="69">
        <f t="shared" si="18"/>
        <v>0.73734357727853916</v>
      </c>
      <c r="T88" s="69">
        <f t="shared" si="18"/>
        <v>0.78914052609368401</v>
      </c>
      <c r="U88" s="69">
        <f t="shared" si="18"/>
        <v>0.70438038319168228</v>
      </c>
      <c r="V88" s="69">
        <f t="shared" si="18"/>
        <v>0.66984523245490257</v>
      </c>
      <c r="W88" s="69">
        <f t="shared" si="18"/>
        <v>0.65123934299782704</v>
      </c>
      <c r="X88" s="69">
        <f t="shared" si="18"/>
        <v>0.61521731756553344</v>
      </c>
      <c r="Y88" s="69">
        <f t="shared" si="18"/>
        <v>0.57039407214538151</v>
      </c>
      <c r="Z88" s="69">
        <f t="shared" si="18"/>
        <v>0.53505445063874169</v>
      </c>
      <c r="AA88" s="69">
        <f t="shared" si="18"/>
        <v>0.56007198880655951</v>
      </c>
      <c r="AB88" s="69">
        <f t="shared" si="18"/>
        <v>0.97320450858161767</v>
      </c>
      <c r="AC88" s="69">
        <f t="shared" si="18"/>
        <v>0.54872533309240634</v>
      </c>
      <c r="AD88" s="69">
        <f t="shared" si="18"/>
        <v>0.57194000782838639</v>
      </c>
      <c r="AE88" s="69">
        <f t="shared" si="18"/>
        <v>0.54350479950061015</v>
      </c>
      <c r="AF88" s="69">
        <f t="shared" si="18"/>
        <v>0.37851142561017753</v>
      </c>
    </row>
    <row r="89" spans="1:32" s="37" customFormat="1" ht="15" x14ac:dyDescent="0.2">
      <c r="A89" s="18" t="s">
        <v>24</v>
      </c>
      <c r="B89" s="69" t="e">
        <f t="shared" ref="B89:AF89" si="19">+B25/B$128*100</f>
        <v>#DIV/0!</v>
      </c>
      <c r="C89" s="69" t="e">
        <f t="shared" si="19"/>
        <v>#DIV/0!</v>
      </c>
      <c r="D89" s="69" t="e">
        <f t="shared" si="19"/>
        <v>#DIV/0!</v>
      </c>
      <c r="E89" s="69" t="e">
        <f t="shared" si="19"/>
        <v>#DIV/0!</v>
      </c>
      <c r="F89" s="69" t="e">
        <f t="shared" si="19"/>
        <v>#DIV/0!</v>
      </c>
      <c r="G89" s="69">
        <f t="shared" si="19"/>
        <v>0</v>
      </c>
      <c r="H89" s="69">
        <f t="shared" si="19"/>
        <v>0</v>
      </c>
      <c r="I89" s="69">
        <f t="shared" si="19"/>
        <v>0</v>
      </c>
      <c r="J89" s="69">
        <f t="shared" si="19"/>
        <v>0</v>
      </c>
      <c r="K89" s="69">
        <f t="shared" si="19"/>
        <v>0.27290101946652423</v>
      </c>
      <c r="L89" s="69">
        <f t="shared" si="19"/>
        <v>0</v>
      </c>
      <c r="M89" s="69">
        <f t="shared" si="19"/>
        <v>0.25677639068713715</v>
      </c>
      <c r="N89" s="69">
        <f t="shared" si="19"/>
        <v>0.21685564158548223</v>
      </c>
      <c r="O89" s="69">
        <f t="shared" si="19"/>
        <v>0.34010555077058463</v>
      </c>
      <c r="P89" s="69">
        <f t="shared" si="19"/>
        <v>0</v>
      </c>
      <c r="Q89" s="69">
        <f t="shared" si="19"/>
        <v>0</v>
      </c>
      <c r="R89" s="69">
        <f t="shared" si="19"/>
        <v>0</v>
      </c>
      <c r="S89" s="69">
        <f t="shared" si="19"/>
        <v>0.25933850289843413</v>
      </c>
      <c r="T89" s="69">
        <f t="shared" si="19"/>
        <v>0.28220309722630726</v>
      </c>
      <c r="U89" s="69">
        <f t="shared" si="19"/>
        <v>0.27035143000864498</v>
      </c>
      <c r="V89" s="69">
        <f t="shared" si="19"/>
        <v>0.19055613914414654</v>
      </c>
      <c r="W89" s="69">
        <f t="shared" si="19"/>
        <v>0.17525892149081104</v>
      </c>
      <c r="X89" s="69">
        <f t="shared" si="19"/>
        <v>0.20543723207396722</v>
      </c>
      <c r="Y89" s="69">
        <f t="shared" si="19"/>
        <v>0.24358108456896374</v>
      </c>
      <c r="Z89" s="69">
        <f t="shared" si="19"/>
        <v>0.26955907766356857</v>
      </c>
      <c r="AA89" s="69">
        <f t="shared" si="19"/>
        <v>0.35522870071076795</v>
      </c>
      <c r="AB89" s="69">
        <f t="shared" si="19"/>
        <v>0.19581244316503521</v>
      </c>
      <c r="AC89" s="69">
        <f t="shared" si="19"/>
        <v>0.21208951144526927</v>
      </c>
      <c r="AD89" s="69">
        <f t="shared" si="19"/>
        <v>0.2792013136414408</v>
      </c>
      <c r="AE89" s="69">
        <f t="shared" si="19"/>
        <v>0.26457983439196148</v>
      </c>
      <c r="AF89" s="69">
        <f t="shared" si="19"/>
        <v>0.21914313913160605</v>
      </c>
    </row>
    <row r="90" spans="1:32" s="7" customFormat="1" x14ac:dyDescent="0.2">
      <c r="A90" s="29"/>
      <c r="B90" s="24"/>
      <c r="C90" s="24"/>
      <c r="D90" s="24"/>
      <c r="E90" s="24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53"/>
      <c r="S90" s="31"/>
      <c r="T90" s="31"/>
      <c r="U90" s="32"/>
      <c r="V90" s="38"/>
    </row>
    <row r="91" spans="1:32" s="36" customFormat="1" ht="15.75" x14ac:dyDescent="0.25">
      <c r="A91" s="34" t="s">
        <v>31</v>
      </c>
      <c r="B91" s="35" t="e">
        <f t="shared" ref="B91:AF91" si="20">+B27/B$128*100</f>
        <v>#DIV/0!</v>
      </c>
      <c r="C91" s="35" t="e">
        <f t="shared" si="20"/>
        <v>#DIV/0!</v>
      </c>
      <c r="D91" s="35" t="e">
        <f t="shared" si="20"/>
        <v>#DIV/0!</v>
      </c>
      <c r="E91" s="35" t="e">
        <f t="shared" si="20"/>
        <v>#DIV/0!</v>
      </c>
      <c r="F91" s="35" t="e">
        <f t="shared" si="20"/>
        <v>#DIV/0!</v>
      </c>
      <c r="G91" s="35">
        <f t="shared" si="20"/>
        <v>0</v>
      </c>
      <c r="H91" s="35">
        <f t="shared" si="20"/>
        <v>0</v>
      </c>
      <c r="I91" s="35">
        <f t="shared" si="20"/>
        <v>0</v>
      </c>
      <c r="J91" s="35">
        <f t="shared" si="20"/>
        <v>0</v>
      </c>
      <c r="K91" s="35">
        <f t="shared" si="20"/>
        <v>2.9876725566217277</v>
      </c>
      <c r="L91" s="35">
        <f t="shared" si="20"/>
        <v>0</v>
      </c>
      <c r="M91" s="35">
        <f t="shared" si="20"/>
        <v>3.4315998027418111</v>
      </c>
      <c r="N91" s="35">
        <f t="shared" si="20"/>
        <v>3.4852903275984901</v>
      </c>
      <c r="O91" s="35">
        <f t="shared" si="20"/>
        <v>3.5283664679980524</v>
      </c>
      <c r="P91" s="35">
        <f t="shared" si="20"/>
        <v>0</v>
      </c>
      <c r="Q91" s="35">
        <f t="shared" si="20"/>
        <v>0</v>
      </c>
      <c r="R91" s="35">
        <f t="shared" si="20"/>
        <v>0</v>
      </c>
      <c r="S91" s="35">
        <f t="shared" si="20"/>
        <v>3.6401838335015904</v>
      </c>
      <c r="T91" s="35">
        <f t="shared" si="20"/>
        <v>3.6441386718500239</v>
      </c>
      <c r="U91" s="35">
        <f t="shared" si="20"/>
        <v>3.6238640165797835</v>
      </c>
      <c r="V91" s="35">
        <f t="shared" si="20"/>
        <v>3.3843021014309653</v>
      </c>
      <c r="W91" s="35">
        <f t="shared" si="20"/>
        <v>4.3136271201194507</v>
      </c>
      <c r="X91" s="35">
        <f t="shared" si="20"/>
        <v>4.4592399993280756</v>
      </c>
      <c r="Y91" s="35">
        <f t="shared" si="20"/>
        <v>5.6493768245123883</v>
      </c>
      <c r="Z91" s="35">
        <f t="shared" si="20"/>
        <v>6.9576195473371625</v>
      </c>
      <c r="AA91" s="35">
        <f t="shared" si="20"/>
        <v>7.806874312139092</v>
      </c>
      <c r="AB91" s="35">
        <f t="shared" si="20"/>
        <v>4.8477882434008555</v>
      </c>
      <c r="AC91" s="35">
        <f t="shared" si="20"/>
        <v>5.5809409785000463</v>
      </c>
      <c r="AD91" s="35">
        <f t="shared" si="20"/>
        <v>5.7310328696764579</v>
      </c>
      <c r="AE91" s="35">
        <f t="shared" si="20"/>
        <v>5.7349097149904766</v>
      </c>
      <c r="AF91" s="35">
        <f t="shared" si="20"/>
        <v>4.7221648631827362</v>
      </c>
    </row>
    <row r="92" spans="1:32" s="9" customFormat="1" ht="15" x14ac:dyDescent="0.2">
      <c r="A92" s="9" t="s">
        <v>11</v>
      </c>
      <c r="B92" s="69" t="e">
        <f t="shared" ref="B92:AF92" si="21">+B28/B$128*100</f>
        <v>#DIV/0!</v>
      </c>
      <c r="C92" s="69" t="e">
        <f t="shared" si="21"/>
        <v>#DIV/0!</v>
      </c>
      <c r="D92" s="69" t="e">
        <f t="shared" si="21"/>
        <v>#DIV/0!</v>
      </c>
      <c r="E92" s="69" t="e">
        <f t="shared" si="21"/>
        <v>#DIV/0!</v>
      </c>
      <c r="F92" s="69" t="e">
        <f t="shared" si="21"/>
        <v>#DIV/0!</v>
      </c>
      <c r="G92" s="69">
        <f t="shared" si="21"/>
        <v>0</v>
      </c>
      <c r="H92" s="69">
        <f t="shared" si="21"/>
        <v>0</v>
      </c>
      <c r="I92" s="69">
        <f t="shared" si="21"/>
        <v>0</v>
      </c>
      <c r="J92" s="69">
        <f t="shared" si="21"/>
        <v>0</v>
      </c>
      <c r="K92" s="69">
        <f t="shared" si="21"/>
        <v>0</v>
      </c>
      <c r="L92" s="69">
        <f t="shared" si="21"/>
        <v>0</v>
      </c>
      <c r="M92" s="69">
        <f t="shared" si="21"/>
        <v>0</v>
      </c>
      <c r="N92" s="69">
        <f t="shared" si="21"/>
        <v>0</v>
      </c>
      <c r="O92" s="69">
        <f t="shared" si="21"/>
        <v>0</v>
      </c>
      <c r="P92" s="69">
        <f t="shared" si="21"/>
        <v>0</v>
      </c>
      <c r="Q92" s="69">
        <f t="shared" si="21"/>
        <v>0</v>
      </c>
      <c r="R92" s="69">
        <f t="shared" si="21"/>
        <v>0</v>
      </c>
      <c r="S92" s="69">
        <f t="shared" si="21"/>
        <v>0</v>
      </c>
      <c r="T92" s="69">
        <f t="shared" si="21"/>
        <v>0</v>
      </c>
      <c r="U92" s="69">
        <f t="shared" si="21"/>
        <v>0</v>
      </c>
      <c r="V92" s="69">
        <f t="shared" si="21"/>
        <v>0</v>
      </c>
      <c r="W92" s="69">
        <f t="shared" si="21"/>
        <v>0</v>
      </c>
      <c r="X92" s="69">
        <f t="shared" si="21"/>
        <v>0</v>
      </c>
      <c r="Y92" s="69">
        <f t="shared" si="21"/>
        <v>0</v>
      </c>
      <c r="Z92" s="69">
        <f t="shared" si="21"/>
        <v>0</v>
      </c>
      <c r="AA92" s="69">
        <f t="shared" si="21"/>
        <v>0</v>
      </c>
      <c r="AB92" s="69">
        <f t="shared" si="21"/>
        <v>0</v>
      </c>
      <c r="AC92" s="69">
        <f t="shared" si="21"/>
        <v>0</v>
      </c>
      <c r="AD92" s="69">
        <f t="shared" si="21"/>
        <v>0</v>
      </c>
      <c r="AE92" s="69">
        <f t="shared" si="21"/>
        <v>0</v>
      </c>
      <c r="AF92" s="69">
        <f t="shared" si="21"/>
        <v>0</v>
      </c>
    </row>
    <row r="93" spans="1:32" s="9" customFormat="1" ht="15" x14ac:dyDescent="0.2">
      <c r="A93" s="9" t="s">
        <v>12</v>
      </c>
      <c r="B93" s="69" t="e">
        <f t="shared" ref="B93:AF93" si="22">+B29/B$128*100</f>
        <v>#DIV/0!</v>
      </c>
      <c r="C93" s="69" t="e">
        <f t="shared" si="22"/>
        <v>#DIV/0!</v>
      </c>
      <c r="D93" s="69" t="e">
        <f t="shared" si="22"/>
        <v>#DIV/0!</v>
      </c>
      <c r="E93" s="69" t="e">
        <f t="shared" si="22"/>
        <v>#DIV/0!</v>
      </c>
      <c r="F93" s="69" t="e">
        <f t="shared" si="22"/>
        <v>#DIV/0!</v>
      </c>
      <c r="G93" s="69">
        <f t="shared" si="22"/>
        <v>0</v>
      </c>
      <c r="H93" s="69">
        <f t="shared" si="22"/>
        <v>0</v>
      </c>
      <c r="I93" s="69">
        <f t="shared" si="22"/>
        <v>0</v>
      </c>
      <c r="J93" s="69">
        <f t="shared" si="22"/>
        <v>0</v>
      </c>
      <c r="K93" s="69">
        <f t="shared" si="22"/>
        <v>0</v>
      </c>
      <c r="L93" s="69">
        <f t="shared" si="22"/>
        <v>0</v>
      </c>
      <c r="M93" s="69">
        <f t="shared" si="22"/>
        <v>0</v>
      </c>
      <c r="N93" s="69">
        <f t="shared" si="22"/>
        <v>0</v>
      </c>
      <c r="O93" s="69">
        <f t="shared" si="22"/>
        <v>0</v>
      </c>
      <c r="P93" s="69">
        <f t="shared" si="22"/>
        <v>0</v>
      </c>
      <c r="Q93" s="69">
        <f t="shared" si="22"/>
        <v>0</v>
      </c>
      <c r="R93" s="69">
        <f t="shared" si="22"/>
        <v>0</v>
      </c>
      <c r="S93" s="69">
        <f t="shared" si="22"/>
        <v>0</v>
      </c>
      <c r="T93" s="69">
        <f t="shared" si="22"/>
        <v>0</v>
      </c>
      <c r="U93" s="69">
        <f t="shared" si="22"/>
        <v>0</v>
      </c>
      <c r="V93" s="69">
        <f t="shared" si="22"/>
        <v>0</v>
      </c>
      <c r="W93" s="69">
        <f t="shared" si="22"/>
        <v>0</v>
      </c>
      <c r="X93" s="69">
        <f t="shared" si="22"/>
        <v>0</v>
      </c>
      <c r="Y93" s="69">
        <f t="shared" si="22"/>
        <v>0</v>
      </c>
      <c r="Z93" s="69">
        <f t="shared" si="22"/>
        <v>0</v>
      </c>
      <c r="AA93" s="69">
        <f t="shared" si="22"/>
        <v>0</v>
      </c>
      <c r="AB93" s="69">
        <f t="shared" si="22"/>
        <v>0</v>
      </c>
      <c r="AC93" s="69">
        <f t="shared" si="22"/>
        <v>0</v>
      </c>
      <c r="AD93" s="69">
        <f t="shared" si="22"/>
        <v>0</v>
      </c>
      <c r="AE93" s="69">
        <f t="shared" si="22"/>
        <v>0</v>
      </c>
      <c r="AF93" s="69">
        <f t="shared" si="22"/>
        <v>0</v>
      </c>
    </row>
    <row r="94" spans="1:32" s="9" customFormat="1" ht="15" x14ac:dyDescent="0.2">
      <c r="A94" s="37" t="s">
        <v>13</v>
      </c>
      <c r="B94" s="69" t="e">
        <f t="shared" ref="B94:AF94" si="23">+B30/B$128*100</f>
        <v>#DIV/0!</v>
      </c>
      <c r="C94" s="69" t="e">
        <f t="shared" si="23"/>
        <v>#DIV/0!</v>
      </c>
      <c r="D94" s="69" t="e">
        <f t="shared" si="23"/>
        <v>#DIV/0!</v>
      </c>
      <c r="E94" s="69" t="e">
        <f t="shared" si="23"/>
        <v>#DIV/0!</v>
      </c>
      <c r="F94" s="69" t="e">
        <f t="shared" si="23"/>
        <v>#DIV/0!</v>
      </c>
      <c r="G94" s="69">
        <f t="shared" si="23"/>
        <v>0</v>
      </c>
      <c r="H94" s="69">
        <f t="shared" si="23"/>
        <v>0</v>
      </c>
      <c r="I94" s="69">
        <f t="shared" si="23"/>
        <v>0</v>
      </c>
      <c r="J94" s="69">
        <f t="shared" si="23"/>
        <v>0</v>
      </c>
      <c r="K94" s="69">
        <f t="shared" si="23"/>
        <v>0</v>
      </c>
      <c r="L94" s="69">
        <f t="shared" si="23"/>
        <v>0</v>
      </c>
      <c r="M94" s="69">
        <f t="shared" si="23"/>
        <v>0</v>
      </c>
      <c r="N94" s="69">
        <f t="shared" si="23"/>
        <v>0</v>
      </c>
      <c r="O94" s="69">
        <f t="shared" si="23"/>
        <v>0</v>
      </c>
      <c r="P94" s="69">
        <f t="shared" si="23"/>
        <v>0</v>
      </c>
      <c r="Q94" s="69">
        <f t="shared" si="23"/>
        <v>0</v>
      </c>
      <c r="R94" s="69">
        <f t="shared" si="23"/>
        <v>0</v>
      </c>
      <c r="S94" s="69">
        <f t="shared" si="23"/>
        <v>0</v>
      </c>
      <c r="T94" s="69">
        <f t="shared" si="23"/>
        <v>0</v>
      </c>
      <c r="U94" s="69">
        <f t="shared" si="23"/>
        <v>0</v>
      </c>
      <c r="V94" s="69">
        <f t="shared" si="23"/>
        <v>0</v>
      </c>
      <c r="W94" s="69">
        <f t="shared" si="23"/>
        <v>0</v>
      </c>
      <c r="X94" s="69">
        <f t="shared" si="23"/>
        <v>0</v>
      </c>
      <c r="Y94" s="69">
        <f t="shared" si="23"/>
        <v>0</v>
      </c>
      <c r="Z94" s="69">
        <f t="shared" si="23"/>
        <v>0</v>
      </c>
      <c r="AA94" s="69">
        <f t="shared" si="23"/>
        <v>0</v>
      </c>
      <c r="AB94" s="69">
        <f t="shared" si="23"/>
        <v>0</v>
      </c>
      <c r="AC94" s="69">
        <f t="shared" si="23"/>
        <v>0</v>
      </c>
      <c r="AD94" s="69">
        <f t="shared" si="23"/>
        <v>0</v>
      </c>
      <c r="AE94" s="69">
        <f t="shared" si="23"/>
        <v>0</v>
      </c>
      <c r="AF94" s="69">
        <f t="shared" si="23"/>
        <v>0</v>
      </c>
    </row>
    <row r="95" spans="1:32" s="7" customFormat="1" ht="15" x14ac:dyDescent="0.2">
      <c r="A95" s="55" t="s">
        <v>25</v>
      </c>
      <c r="B95" s="69" t="e">
        <f t="shared" ref="B95:AF95" si="24">+B31/B$128*100</f>
        <v>#DIV/0!</v>
      </c>
      <c r="C95" s="69" t="e">
        <f t="shared" si="24"/>
        <v>#DIV/0!</v>
      </c>
      <c r="D95" s="69" t="e">
        <f t="shared" si="24"/>
        <v>#DIV/0!</v>
      </c>
      <c r="E95" s="69" t="e">
        <f t="shared" si="24"/>
        <v>#DIV/0!</v>
      </c>
      <c r="F95" s="69" t="e">
        <f t="shared" si="24"/>
        <v>#DIV/0!</v>
      </c>
      <c r="G95" s="69">
        <f t="shared" si="24"/>
        <v>0</v>
      </c>
      <c r="H95" s="69">
        <f t="shared" si="24"/>
        <v>0</v>
      </c>
      <c r="I95" s="69">
        <f t="shared" si="24"/>
        <v>0</v>
      </c>
      <c r="J95" s="69">
        <f t="shared" si="24"/>
        <v>0</v>
      </c>
      <c r="K95" s="69">
        <f t="shared" si="24"/>
        <v>0.37838001387626902</v>
      </c>
      <c r="L95" s="69">
        <f t="shared" si="24"/>
        <v>0</v>
      </c>
      <c r="M95" s="69">
        <f t="shared" si="24"/>
        <v>0.83060792870374023</v>
      </c>
      <c r="N95" s="69">
        <f t="shared" si="24"/>
        <v>0.88757383597019412</v>
      </c>
      <c r="O95" s="69">
        <f t="shared" si="24"/>
        <v>0.944832747981178</v>
      </c>
      <c r="P95" s="69">
        <f t="shared" si="24"/>
        <v>0</v>
      </c>
      <c r="Q95" s="69">
        <f t="shared" si="24"/>
        <v>0</v>
      </c>
      <c r="R95" s="69">
        <f t="shared" si="24"/>
        <v>0</v>
      </c>
      <c r="S95" s="69">
        <f t="shared" si="24"/>
        <v>1.1445817173895609</v>
      </c>
      <c r="T95" s="69">
        <f t="shared" si="24"/>
        <v>0</v>
      </c>
      <c r="U95" s="69">
        <f t="shared" si="24"/>
        <v>0</v>
      </c>
      <c r="V95" s="69">
        <f t="shared" si="24"/>
        <v>0</v>
      </c>
      <c r="W95" s="69">
        <f t="shared" si="24"/>
        <v>0</v>
      </c>
      <c r="X95" s="69">
        <f t="shared" si="24"/>
        <v>0</v>
      </c>
      <c r="Y95" s="69">
        <f t="shared" si="24"/>
        <v>0</v>
      </c>
      <c r="Z95" s="69">
        <f t="shared" si="24"/>
        <v>0</v>
      </c>
      <c r="AA95" s="69">
        <f t="shared" si="24"/>
        <v>0</v>
      </c>
      <c r="AB95" s="69">
        <f t="shared" si="24"/>
        <v>0</v>
      </c>
      <c r="AC95" s="69">
        <f t="shared" si="24"/>
        <v>0</v>
      </c>
      <c r="AD95" s="69">
        <f t="shared" si="24"/>
        <v>0</v>
      </c>
      <c r="AE95" s="69">
        <f t="shared" si="24"/>
        <v>0</v>
      </c>
      <c r="AF95" s="69">
        <f t="shared" si="24"/>
        <v>0</v>
      </c>
    </row>
    <row r="96" spans="1:32" s="49" customFormat="1" ht="15" x14ac:dyDescent="0.2">
      <c r="A96" s="9" t="s">
        <v>33</v>
      </c>
      <c r="B96" s="69" t="e">
        <f t="shared" ref="B96:AF96" si="25">+B32/B$128*100</f>
        <v>#DIV/0!</v>
      </c>
      <c r="C96" s="69" t="e">
        <f t="shared" si="25"/>
        <v>#DIV/0!</v>
      </c>
      <c r="D96" s="69" t="e">
        <f t="shared" si="25"/>
        <v>#DIV/0!</v>
      </c>
      <c r="E96" s="69" t="e">
        <f t="shared" si="25"/>
        <v>#DIV/0!</v>
      </c>
      <c r="F96" s="69" t="e">
        <f t="shared" si="25"/>
        <v>#DIV/0!</v>
      </c>
      <c r="G96" s="69">
        <f t="shared" si="25"/>
        <v>0</v>
      </c>
      <c r="H96" s="69">
        <f t="shared" si="25"/>
        <v>0</v>
      </c>
      <c r="I96" s="69">
        <f t="shared" si="25"/>
        <v>0</v>
      </c>
      <c r="J96" s="69">
        <f t="shared" si="25"/>
        <v>0</v>
      </c>
      <c r="K96" s="69">
        <f t="shared" si="25"/>
        <v>0</v>
      </c>
      <c r="L96" s="69">
        <f t="shared" si="25"/>
        <v>0</v>
      </c>
      <c r="M96" s="69">
        <f t="shared" si="25"/>
        <v>0</v>
      </c>
      <c r="N96" s="69">
        <f t="shared" si="25"/>
        <v>0</v>
      </c>
      <c r="O96" s="69">
        <f t="shared" si="25"/>
        <v>0</v>
      </c>
      <c r="P96" s="69">
        <f t="shared" si="25"/>
        <v>0</v>
      </c>
      <c r="Q96" s="69">
        <f t="shared" si="25"/>
        <v>0</v>
      </c>
      <c r="R96" s="69">
        <f t="shared" si="25"/>
        <v>0</v>
      </c>
      <c r="S96" s="69">
        <f t="shared" si="25"/>
        <v>0</v>
      </c>
      <c r="T96" s="69">
        <f t="shared" si="25"/>
        <v>0</v>
      </c>
      <c r="U96" s="69">
        <f t="shared" si="25"/>
        <v>0</v>
      </c>
      <c r="V96" s="69">
        <f t="shared" si="25"/>
        <v>0</v>
      </c>
      <c r="W96" s="69">
        <f t="shared" si="25"/>
        <v>0</v>
      </c>
      <c r="X96" s="69">
        <f t="shared" si="25"/>
        <v>0</v>
      </c>
      <c r="Y96" s="69">
        <f t="shared" si="25"/>
        <v>0</v>
      </c>
      <c r="Z96" s="69">
        <f t="shared" si="25"/>
        <v>0.30568453842841792</v>
      </c>
      <c r="AA96" s="69">
        <f t="shared" si="25"/>
        <v>0.36651181677482558</v>
      </c>
      <c r="AB96" s="69">
        <f t="shared" si="25"/>
        <v>0.21235281613728474</v>
      </c>
      <c r="AC96" s="69">
        <f t="shared" si="25"/>
        <v>0.25440837496119928</v>
      </c>
      <c r="AD96" s="69">
        <f t="shared" si="25"/>
        <v>0.24422179155488938</v>
      </c>
      <c r="AE96" s="69">
        <f t="shared" si="25"/>
        <v>0.22164050338509181</v>
      </c>
      <c r="AF96" s="69">
        <f t="shared" si="25"/>
        <v>0.15575833518250307</v>
      </c>
    </row>
    <row r="97" spans="1:32" s="36" customFormat="1" ht="15" x14ac:dyDescent="0.2">
      <c r="A97" s="9" t="s">
        <v>37</v>
      </c>
      <c r="B97" s="69" t="e">
        <f t="shared" ref="B97:AF97" si="26">+B33/B$128*100</f>
        <v>#DIV/0!</v>
      </c>
      <c r="C97" s="69" t="e">
        <f t="shared" si="26"/>
        <v>#DIV/0!</v>
      </c>
      <c r="D97" s="69" t="e">
        <f t="shared" si="26"/>
        <v>#DIV/0!</v>
      </c>
      <c r="E97" s="69" t="e">
        <f t="shared" si="26"/>
        <v>#DIV/0!</v>
      </c>
      <c r="F97" s="69" t="e">
        <f t="shared" si="26"/>
        <v>#DIV/0!</v>
      </c>
      <c r="G97" s="69">
        <f t="shared" si="26"/>
        <v>0</v>
      </c>
      <c r="H97" s="69">
        <f t="shared" si="26"/>
        <v>0</v>
      </c>
      <c r="I97" s="69">
        <f t="shared" si="26"/>
        <v>0</v>
      </c>
      <c r="J97" s="69">
        <f t="shared" si="26"/>
        <v>0</v>
      </c>
      <c r="K97" s="69">
        <f t="shared" si="26"/>
        <v>2.6092925427454587</v>
      </c>
      <c r="L97" s="69">
        <f t="shared" si="26"/>
        <v>0</v>
      </c>
      <c r="M97" s="69">
        <f t="shared" si="26"/>
        <v>2.6009918740380704</v>
      </c>
      <c r="N97" s="69">
        <f t="shared" si="26"/>
        <v>2.5977164916282955</v>
      </c>
      <c r="O97" s="69">
        <f t="shared" si="26"/>
        <v>2.5835337200168742</v>
      </c>
      <c r="P97" s="69">
        <f t="shared" si="26"/>
        <v>0</v>
      </c>
      <c r="Q97" s="69">
        <f t="shared" si="26"/>
        <v>0</v>
      </c>
      <c r="R97" s="69">
        <f t="shared" si="26"/>
        <v>0</v>
      </c>
      <c r="S97" s="69">
        <f t="shared" si="26"/>
        <v>2.4956021161120288</v>
      </c>
      <c r="T97" s="69">
        <f t="shared" si="26"/>
        <v>2.4428701134285609</v>
      </c>
      <c r="U97" s="69">
        <f t="shared" si="26"/>
        <v>2.4533612746521367</v>
      </c>
      <c r="V97" s="69">
        <f t="shared" si="26"/>
        <v>2.3243573605848238</v>
      </c>
      <c r="W97" s="69">
        <f t="shared" si="26"/>
        <v>2.5193179029839459</v>
      </c>
      <c r="X97" s="69">
        <f t="shared" si="26"/>
        <v>2.5651882679901505</v>
      </c>
      <c r="Y97" s="69">
        <f t="shared" si="26"/>
        <v>2.6248736648429456</v>
      </c>
      <c r="Z97" s="69">
        <f t="shared" si="26"/>
        <v>2.4510038197185477</v>
      </c>
      <c r="AA97" s="69">
        <f t="shared" si="26"/>
        <v>2.7154313400021253</v>
      </c>
      <c r="AB97" s="69">
        <f t="shared" si="26"/>
        <v>1.5282113413504925</v>
      </c>
      <c r="AC97" s="69">
        <f t="shared" si="26"/>
        <v>1.6738361137710938</v>
      </c>
      <c r="AD97" s="69">
        <f t="shared" si="26"/>
        <v>2.0580541686158074</v>
      </c>
      <c r="AE97" s="69">
        <f t="shared" si="26"/>
        <v>1.9642216612708894</v>
      </c>
      <c r="AF97" s="69">
        <f t="shared" si="26"/>
        <v>1.4461689187932247</v>
      </c>
    </row>
    <row r="98" spans="1:32" s="37" customFormat="1" ht="15" x14ac:dyDescent="0.2">
      <c r="A98" s="9" t="s">
        <v>34</v>
      </c>
      <c r="B98" s="69" t="e">
        <f t="shared" ref="B98:AF98" si="27">+B34/B$128*100</f>
        <v>#DIV/0!</v>
      </c>
      <c r="C98" s="69" t="e">
        <f t="shared" si="27"/>
        <v>#DIV/0!</v>
      </c>
      <c r="D98" s="69" t="e">
        <f t="shared" si="27"/>
        <v>#DIV/0!</v>
      </c>
      <c r="E98" s="69" t="e">
        <f t="shared" si="27"/>
        <v>#DIV/0!</v>
      </c>
      <c r="F98" s="69" t="e">
        <f t="shared" si="27"/>
        <v>#DIV/0!</v>
      </c>
      <c r="G98" s="69">
        <f t="shared" si="27"/>
        <v>0</v>
      </c>
      <c r="H98" s="69">
        <f t="shared" si="27"/>
        <v>0</v>
      </c>
      <c r="I98" s="69">
        <f t="shared" si="27"/>
        <v>0</v>
      </c>
      <c r="J98" s="69">
        <f t="shared" si="27"/>
        <v>0</v>
      </c>
      <c r="K98" s="69">
        <f t="shared" si="27"/>
        <v>0</v>
      </c>
      <c r="L98" s="69">
        <f t="shared" si="27"/>
        <v>0</v>
      </c>
      <c r="M98" s="69">
        <f t="shared" si="27"/>
        <v>0</v>
      </c>
      <c r="N98" s="69">
        <f t="shared" si="27"/>
        <v>0</v>
      </c>
      <c r="O98" s="69">
        <f t="shared" si="27"/>
        <v>0</v>
      </c>
      <c r="P98" s="69">
        <f t="shared" si="27"/>
        <v>0</v>
      </c>
      <c r="Q98" s="69">
        <f t="shared" si="27"/>
        <v>0</v>
      </c>
      <c r="R98" s="69">
        <f t="shared" si="27"/>
        <v>0</v>
      </c>
      <c r="S98" s="69">
        <f t="shared" si="27"/>
        <v>0</v>
      </c>
      <c r="T98" s="69">
        <f t="shared" si="27"/>
        <v>1.0270463816672848</v>
      </c>
      <c r="U98" s="69">
        <f t="shared" si="27"/>
        <v>1.0144357096706271</v>
      </c>
      <c r="V98" s="69">
        <f t="shared" si="27"/>
        <v>0.91109024474505163</v>
      </c>
      <c r="W98" s="69">
        <f t="shared" si="27"/>
        <v>1.6524961216981191</v>
      </c>
      <c r="X98" s="69">
        <f t="shared" si="27"/>
        <v>1.7529592572534429</v>
      </c>
      <c r="Y98" s="69">
        <f t="shared" si="27"/>
        <v>2.8675763425408052</v>
      </c>
      <c r="Z98" s="69">
        <f t="shared" si="27"/>
        <v>4.0439214378829149</v>
      </c>
      <c r="AA98" s="69">
        <f t="shared" si="27"/>
        <v>4.5554844337993954</v>
      </c>
      <c r="AB98" s="69">
        <f t="shared" si="27"/>
        <v>3.0066649568056087</v>
      </c>
      <c r="AC98" s="69">
        <f t="shared" si="27"/>
        <v>3.5521165520621309</v>
      </c>
      <c r="AD98" s="69">
        <f t="shared" si="27"/>
        <v>3.3752756642195001</v>
      </c>
      <c r="AE98" s="69">
        <f t="shared" si="27"/>
        <v>3.494475672321077</v>
      </c>
      <c r="AF98" s="69">
        <f t="shared" si="27"/>
        <v>3.0603869809180351</v>
      </c>
    </row>
    <row r="99" spans="1:32" s="37" customFormat="1" ht="15" x14ac:dyDescent="0.2">
      <c r="A99" s="9" t="s">
        <v>35</v>
      </c>
      <c r="B99" s="69" t="e">
        <f t="shared" ref="B99:AF99" si="28">+B35/B$128*100</f>
        <v>#DIV/0!</v>
      </c>
      <c r="C99" s="69" t="e">
        <f t="shared" si="28"/>
        <v>#DIV/0!</v>
      </c>
      <c r="D99" s="69" t="e">
        <f t="shared" si="28"/>
        <v>#DIV/0!</v>
      </c>
      <c r="E99" s="69" t="e">
        <f t="shared" si="28"/>
        <v>#DIV/0!</v>
      </c>
      <c r="F99" s="69" t="e">
        <f t="shared" si="28"/>
        <v>#DIV/0!</v>
      </c>
      <c r="G99" s="69">
        <f t="shared" si="28"/>
        <v>0</v>
      </c>
      <c r="H99" s="69">
        <f t="shared" si="28"/>
        <v>0</v>
      </c>
      <c r="I99" s="69">
        <f t="shared" si="28"/>
        <v>0</v>
      </c>
      <c r="J99" s="69">
        <f t="shared" si="28"/>
        <v>0</v>
      </c>
      <c r="K99" s="69">
        <f t="shared" si="28"/>
        <v>0</v>
      </c>
      <c r="L99" s="69">
        <f t="shared" si="28"/>
        <v>0</v>
      </c>
      <c r="M99" s="69">
        <f t="shared" si="28"/>
        <v>0</v>
      </c>
      <c r="N99" s="69">
        <f t="shared" si="28"/>
        <v>0</v>
      </c>
      <c r="O99" s="69">
        <f t="shared" si="28"/>
        <v>0</v>
      </c>
      <c r="P99" s="69">
        <f t="shared" si="28"/>
        <v>0</v>
      </c>
      <c r="Q99" s="69">
        <f t="shared" si="28"/>
        <v>0</v>
      </c>
      <c r="R99" s="69">
        <f t="shared" si="28"/>
        <v>0</v>
      </c>
      <c r="S99" s="69">
        <f t="shared" si="28"/>
        <v>0</v>
      </c>
      <c r="T99" s="69">
        <f t="shared" si="28"/>
        <v>0.17422217675417848</v>
      </c>
      <c r="U99" s="69">
        <f t="shared" si="28"/>
        <v>0.15606703225701957</v>
      </c>
      <c r="V99" s="69">
        <f t="shared" si="28"/>
        <v>0.14885449610108947</v>
      </c>
      <c r="W99" s="69">
        <f t="shared" si="28"/>
        <v>0.14181309543738535</v>
      </c>
      <c r="X99" s="69">
        <f t="shared" si="28"/>
        <v>0.14109247408448089</v>
      </c>
      <c r="Y99" s="69">
        <f t="shared" si="28"/>
        <v>0.15692681712863737</v>
      </c>
      <c r="Z99" s="69">
        <f t="shared" si="28"/>
        <v>0.15700975130728123</v>
      </c>
      <c r="AA99" s="69">
        <f t="shared" si="28"/>
        <v>0.16944672156274529</v>
      </c>
      <c r="AB99" s="69">
        <f t="shared" si="28"/>
        <v>0.10055912910746875</v>
      </c>
      <c r="AC99" s="69">
        <f t="shared" si="28"/>
        <v>0.10057993770562232</v>
      </c>
      <c r="AD99" s="69">
        <f t="shared" si="28"/>
        <v>5.3481245286261185E-2</v>
      </c>
      <c r="AE99" s="69">
        <f t="shared" si="28"/>
        <v>5.4571878013418049E-2</v>
      </c>
      <c r="AF99" s="69">
        <f t="shared" si="28"/>
        <v>5.9850628288972245E-2</v>
      </c>
    </row>
    <row r="100" spans="1:32" s="37" customFormat="1" ht="15" x14ac:dyDescent="0.2">
      <c r="A100" s="13"/>
      <c r="B100" s="24"/>
      <c r="C100" s="24"/>
      <c r="D100" s="24"/>
      <c r="E100" s="24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54"/>
      <c r="S100" s="54"/>
      <c r="T100" s="54"/>
      <c r="U100" s="54"/>
      <c r="V100" s="24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s="37" customFormat="1" ht="15.75" x14ac:dyDescent="0.25">
      <c r="A101" s="34" t="s">
        <v>5</v>
      </c>
      <c r="B101" s="35" t="e">
        <f t="shared" ref="B101:AF101" si="29">+B37/B$128*100</f>
        <v>#DIV/0!</v>
      </c>
      <c r="C101" s="35" t="e">
        <f t="shared" si="29"/>
        <v>#DIV/0!</v>
      </c>
      <c r="D101" s="35" t="e">
        <f t="shared" si="29"/>
        <v>#DIV/0!</v>
      </c>
      <c r="E101" s="35" t="e">
        <f t="shared" si="29"/>
        <v>#DIV/0!</v>
      </c>
      <c r="F101" s="35" t="e">
        <f t="shared" si="29"/>
        <v>#DIV/0!</v>
      </c>
      <c r="G101" s="35">
        <f t="shared" si="29"/>
        <v>0</v>
      </c>
      <c r="H101" s="35">
        <f t="shared" si="29"/>
        <v>0</v>
      </c>
      <c r="I101" s="35">
        <f t="shared" si="29"/>
        <v>0</v>
      </c>
      <c r="J101" s="35">
        <f t="shared" si="29"/>
        <v>0</v>
      </c>
      <c r="K101" s="35">
        <f t="shared" si="29"/>
        <v>3.2248422180002949</v>
      </c>
      <c r="L101" s="35">
        <f t="shared" si="29"/>
        <v>0</v>
      </c>
      <c r="M101" s="35">
        <f t="shared" si="29"/>
        <v>3.5949382451232692</v>
      </c>
      <c r="N101" s="35">
        <f t="shared" si="29"/>
        <v>3.7467138658368087</v>
      </c>
      <c r="O101" s="35">
        <f t="shared" si="29"/>
        <v>4.2873629828337059</v>
      </c>
      <c r="P101" s="35">
        <f t="shared" si="29"/>
        <v>0</v>
      </c>
      <c r="Q101" s="35">
        <f t="shared" si="29"/>
        <v>0</v>
      </c>
      <c r="R101" s="35">
        <f t="shared" si="29"/>
        <v>0</v>
      </c>
      <c r="S101" s="35">
        <f t="shared" si="29"/>
        <v>8.480793968235611</v>
      </c>
      <c r="T101" s="35">
        <f t="shared" si="29"/>
        <v>5.1350273021394131</v>
      </c>
      <c r="U101" s="35">
        <f t="shared" si="29"/>
        <v>6.5965286980323805</v>
      </c>
      <c r="V101" s="35">
        <f t="shared" si="29"/>
        <v>4.1956934099904153</v>
      </c>
      <c r="W101" s="35">
        <f t="shared" si="29"/>
        <v>3.752647285427249</v>
      </c>
      <c r="X101" s="35">
        <f t="shared" si="29"/>
        <v>3.2822181031352446</v>
      </c>
      <c r="Y101" s="35">
        <f t="shared" si="29"/>
        <v>3.1768554163394738</v>
      </c>
      <c r="Z101" s="35">
        <f t="shared" si="29"/>
        <v>4.0704884534801664</v>
      </c>
      <c r="AA101" s="35">
        <f t="shared" si="29"/>
        <v>5.6092243262929813</v>
      </c>
      <c r="AB101" s="35">
        <f t="shared" si="29"/>
        <v>6.3843107533310599</v>
      </c>
      <c r="AC101" s="35">
        <f t="shared" si="29"/>
        <v>3.544446100143662</v>
      </c>
      <c r="AD101" s="35">
        <f t="shared" si="29"/>
        <v>2.8264580369843526</v>
      </c>
      <c r="AE101" s="35">
        <f t="shared" si="29"/>
        <v>2.0379691732015122</v>
      </c>
      <c r="AF101" s="35">
        <f t="shared" si="29"/>
        <v>2.1827626585647968</v>
      </c>
    </row>
    <row r="102" spans="1:32" s="37" customFormat="1" ht="15" x14ac:dyDescent="0.2">
      <c r="A102" s="37" t="s">
        <v>15</v>
      </c>
      <c r="B102" s="69" t="e">
        <f t="shared" ref="B102:AF102" si="30">+B38/B$128*100</f>
        <v>#DIV/0!</v>
      </c>
      <c r="C102" s="69" t="e">
        <f t="shared" si="30"/>
        <v>#DIV/0!</v>
      </c>
      <c r="D102" s="69" t="e">
        <f t="shared" si="30"/>
        <v>#DIV/0!</v>
      </c>
      <c r="E102" s="69" t="e">
        <f t="shared" si="30"/>
        <v>#DIV/0!</v>
      </c>
      <c r="F102" s="69" t="e">
        <f t="shared" si="30"/>
        <v>#DIV/0!</v>
      </c>
      <c r="G102" s="69">
        <f t="shared" si="30"/>
        <v>0</v>
      </c>
      <c r="H102" s="69">
        <f t="shared" si="30"/>
        <v>0</v>
      </c>
      <c r="I102" s="69">
        <f t="shared" si="30"/>
        <v>0</v>
      </c>
      <c r="J102" s="69">
        <f t="shared" si="30"/>
        <v>0</v>
      </c>
      <c r="K102" s="69">
        <f t="shared" si="30"/>
        <v>2.1802927991492278</v>
      </c>
      <c r="L102" s="69">
        <f t="shared" si="30"/>
        <v>0</v>
      </c>
      <c r="M102" s="69">
        <f t="shared" si="30"/>
        <v>2.3052370626021954</v>
      </c>
      <c r="N102" s="69">
        <f t="shared" si="30"/>
        <v>2.2432679884985833</v>
      </c>
      <c r="O102" s="69">
        <f t="shared" si="30"/>
        <v>2.1763102925311864</v>
      </c>
      <c r="P102" s="69">
        <f t="shared" si="30"/>
        <v>0</v>
      </c>
      <c r="Q102" s="69">
        <f t="shared" si="30"/>
        <v>0</v>
      </c>
      <c r="R102" s="69">
        <f t="shared" si="30"/>
        <v>0</v>
      </c>
      <c r="S102" s="69">
        <f t="shared" si="30"/>
        <v>2.22516787393536</v>
      </c>
      <c r="T102" s="69">
        <f t="shared" si="30"/>
        <v>2.0120206140743488</v>
      </c>
      <c r="U102" s="69">
        <f t="shared" si="30"/>
        <v>2.0588629897698083</v>
      </c>
      <c r="V102" s="69">
        <f t="shared" si="30"/>
        <v>1.1024634048076478</v>
      </c>
      <c r="W102" s="69">
        <f t="shared" si="30"/>
        <v>1.0109507150616366</v>
      </c>
      <c r="X102" s="69">
        <f t="shared" si="30"/>
        <v>0.93455230248884935</v>
      </c>
      <c r="Y102" s="69">
        <f t="shared" si="30"/>
        <v>1.0212335467690909</v>
      </c>
      <c r="Z102" s="69">
        <f t="shared" si="30"/>
        <v>1.3677534218277854</v>
      </c>
      <c r="AA102" s="69">
        <f t="shared" si="30"/>
        <v>1.7920472240508463</v>
      </c>
      <c r="AB102" s="69">
        <f t="shared" si="30"/>
        <v>1.1151664807715889</v>
      </c>
      <c r="AC102" s="69">
        <f t="shared" si="30"/>
        <v>1.3065791204336241</v>
      </c>
      <c r="AD102" s="69">
        <f t="shared" si="30"/>
        <v>1.0230841933420527</v>
      </c>
      <c r="AE102" s="69">
        <f t="shared" si="30"/>
        <v>1.43066605160089</v>
      </c>
      <c r="AF102" s="69">
        <f t="shared" si="30"/>
        <v>1.408711506436539</v>
      </c>
    </row>
    <row r="103" spans="1:32" s="37" customFormat="1" ht="15" x14ac:dyDescent="0.2">
      <c r="A103" s="37" t="s">
        <v>16</v>
      </c>
      <c r="B103" s="69" t="e">
        <f t="shared" ref="B103:AF103" si="31">+B39/B$128*100</f>
        <v>#DIV/0!</v>
      </c>
      <c r="C103" s="69" t="e">
        <f t="shared" si="31"/>
        <v>#DIV/0!</v>
      </c>
      <c r="D103" s="69" t="e">
        <f t="shared" si="31"/>
        <v>#DIV/0!</v>
      </c>
      <c r="E103" s="69" t="e">
        <f t="shared" si="31"/>
        <v>#DIV/0!</v>
      </c>
      <c r="F103" s="69" t="e">
        <f t="shared" si="31"/>
        <v>#DIV/0!</v>
      </c>
      <c r="G103" s="69">
        <f t="shared" si="31"/>
        <v>0</v>
      </c>
      <c r="H103" s="69">
        <f t="shared" si="31"/>
        <v>0</v>
      </c>
      <c r="I103" s="69">
        <f t="shared" si="31"/>
        <v>0</v>
      </c>
      <c r="J103" s="69">
        <f t="shared" si="31"/>
        <v>0</v>
      </c>
      <c r="K103" s="69">
        <f t="shared" si="31"/>
        <v>1.0445494188510671</v>
      </c>
      <c r="L103" s="69">
        <f t="shared" si="31"/>
        <v>0</v>
      </c>
      <c r="M103" s="69">
        <f t="shared" si="31"/>
        <v>1.2897011825210742</v>
      </c>
      <c r="N103" s="69">
        <f t="shared" si="31"/>
        <v>1.5034458773382251</v>
      </c>
      <c r="O103" s="69">
        <f t="shared" si="31"/>
        <v>2.1110526903025186</v>
      </c>
      <c r="P103" s="69">
        <f t="shared" si="31"/>
        <v>0</v>
      </c>
      <c r="Q103" s="69">
        <f t="shared" si="31"/>
        <v>0</v>
      </c>
      <c r="R103" s="69">
        <f t="shared" si="31"/>
        <v>0</v>
      </c>
      <c r="S103" s="69">
        <f t="shared" si="31"/>
        <v>6.2556260943002515</v>
      </c>
      <c r="T103" s="69">
        <f t="shared" si="31"/>
        <v>3.1230066880650651</v>
      </c>
      <c r="U103" s="69">
        <f t="shared" si="31"/>
        <v>4.5376657082625709</v>
      </c>
      <c r="V103" s="69">
        <f t="shared" si="31"/>
        <v>3.0932300051827668</v>
      </c>
      <c r="W103" s="69">
        <f t="shared" si="31"/>
        <v>2.7416965703656131</v>
      </c>
      <c r="X103" s="69">
        <f t="shared" si="31"/>
        <v>2.3476658006463946</v>
      </c>
      <c r="Y103" s="69">
        <f t="shared" si="31"/>
        <v>2.1556218695703828</v>
      </c>
      <c r="Z103" s="69">
        <f t="shared" si="31"/>
        <v>2.7027350316523813</v>
      </c>
      <c r="AA103" s="69">
        <f t="shared" si="31"/>
        <v>3.8171771022421357</v>
      </c>
      <c r="AB103" s="69">
        <f t="shared" si="31"/>
        <v>5.2691442725594708</v>
      </c>
      <c r="AC103" s="69">
        <f t="shared" si="31"/>
        <v>2.2378669797100379</v>
      </c>
      <c r="AD103" s="69">
        <f t="shared" si="31"/>
        <v>1.8033738436422999</v>
      </c>
      <c r="AE103" s="69">
        <f t="shared" si="31"/>
        <v>0.60730312160062205</v>
      </c>
      <c r="AF103" s="69">
        <f t="shared" si="31"/>
        <v>0.7740511521282577</v>
      </c>
    </row>
    <row r="104" spans="1:32" s="37" customFormat="1" ht="15" x14ac:dyDescent="0.2">
      <c r="B104" s="40"/>
      <c r="C104" s="40"/>
      <c r="D104" s="40"/>
      <c r="E104" s="40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0"/>
      <c r="S104" s="40"/>
      <c r="T104" s="40"/>
      <c r="U104" s="40"/>
      <c r="V104" s="21"/>
    </row>
    <row r="105" spans="1:32" s="37" customFormat="1" ht="15.75" x14ac:dyDescent="0.25">
      <c r="A105" s="34" t="s">
        <v>6</v>
      </c>
      <c r="B105" s="35" t="e">
        <f t="shared" ref="B105:AF105" si="32">+B41/B$128*100</f>
        <v>#DIV/0!</v>
      </c>
      <c r="C105" s="35" t="e">
        <f t="shared" si="32"/>
        <v>#DIV/0!</v>
      </c>
      <c r="D105" s="35" t="e">
        <f t="shared" si="32"/>
        <v>#DIV/0!</v>
      </c>
      <c r="E105" s="35" t="e">
        <f t="shared" si="32"/>
        <v>#DIV/0!</v>
      </c>
      <c r="F105" s="35" t="e">
        <f t="shared" si="32"/>
        <v>#DIV/0!</v>
      </c>
      <c r="G105" s="35">
        <f t="shared" si="32"/>
        <v>0</v>
      </c>
      <c r="H105" s="35">
        <f t="shared" si="32"/>
        <v>0</v>
      </c>
      <c r="I105" s="35">
        <f t="shared" si="32"/>
        <v>0</v>
      </c>
      <c r="J105" s="35">
        <f t="shared" si="32"/>
        <v>0</v>
      </c>
      <c r="K105" s="35">
        <f t="shared" si="32"/>
        <v>0.38145311126340936</v>
      </c>
      <c r="L105" s="35">
        <f t="shared" si="32"/>
        <v>0</v>
      </c>
      <c r="M105" s="35">
        <f t="shared" si="32"/>
        <v>2.6659546768158852E-2</v>
      </c>
      <c r="N105" s="35">
        <f t="shared" si="32"/>
        <v>2.6180677003281409E-2</v>
      </c>
      <c r="O105" s="35">
        <f t="shared" si="32"/>
        <v>2.2823270811705931E-2</v>
      </c>
      <c r="P105" s="35">
        <f t="shared" si="32"/>
        <v>0</v>
      </c>
      <c r="Q105" s="35">
        <f t="shared" si="32"/>
        <v>0</v>
      </c>
      <c r="R105" s="35">
        <f t="shared" si="32"/>
        <v>0</v>
      </c>
      <c r="S105" s="35">
        <f t="shared" si="32"/>
        <v>8.5512467687668525E-3</v>
      </c>
      <c r="T105" s="35">
        <f t="shared" si="32"/>
        <v>0</v>
      </c>
      <c r="U105" s="35">
        <f t="shared" si="32"/>
        <v>0</v>
      </c>
      <c r="V105" s="35">
        <f t="shared" si="32"/>
        <v>0</v>
      </c>
      <c r="W105" s="35">
        <f t="shared" si="32"/>
        <v>0</v>
      </c>
      <c r="X105" s="35">
        <f t="shared" si="32"/>
        <v>0</v>
      </c>
      <c r="Y105" s="35">
        <f t="shared" si="32"/>
        <v>0</v>
      </c>
      <c r="Z105" s="35">
        <f t="shared" si="32"/>
        <v>0</v>
      </c>
      <c r="AA105" s="35">
        <f t="shared" si="32"/>
        <v>0</v>
      </c>
      <c r="AB105" s="35">
        <f t="shared" si="32"/>
        <v>0</v>
      </c>
      <c r="AC105" s="35">
        <f t="shared" si="32"/>
        <v>0</v>
      </c>
      <c r="AD105" s="35">
        <f t="shared" si="32"/>
        <v>0</v>
      </c>
      <c r="AE105" s="35">
        <f t="shared" si="32"/>
        <v>0</v>
      </c>
      <c r="AF105" s="35">
        <f t="shared" si="32"/>
        <v>0</v>
      </c>
    </row>
    <row r="106" spans="1:32" s="9" customFormat="1" ht="15" x14ac:dyDescent="0.2">
      <c r="A106" s="37" t="s">
        <v>14</v>
      </c>
      <c r="B106" s="69" t="e">
        <f t="shared" ref="B106:AF106" si="33">+B42/B$128*100</f>
        <v>#DIV/0!</v>
      </c>
      <c r="C106" s="69" t="e">
        <f t="shared" si="33"/>
        <v>#DIV/0!</v>
      </c>
      <c r="D106" s="69" t="e">
        <f t="shared" si="33"/>
        <v>#DIV/0!</v>
      </c>
      <c r="E106" s="69" t="e">
        <f t="shared" si="33"/>
        <v>#DIV/0!</v>
      </c>
      <c r="F106" s="69" t="e">
        <f t="shared" si="33"/>
        <v>#DIV/0!</v>
      </c>
      <c r="G106" s="69">
        <f t="shared" si="33"/>
        <v>0</v>
      </c>
      <c r="H106" s="69">
        <f t="shared" si="33"/>
        <v>0</v>
      </c>
      <c r="I106" s="69">
        <f t="shared" si="33"/>
        <v>0</v>
      </c>
      <c r="J106" s="69">
        <f t="shared" si="33"/>
        <v>0</v>
      </c>
      <c r="K106" s="69">
        <f t="shared" si="33"/>
        <v>0</v>
      </c>
      <c r="L106" s="69">
        <f t="shared" si="33"/>
        <v>0</v>
      </c>
      <c r="M106" s="69">
        <f t="shared" si="33"/>
        <v>0</v>
      </c>
      <c r="N106" s="69">
        <f t="shared" si="33"/>
        <v>0</v>
      </c>
      <c r="O106" s="69">
        <f t="shared" si="33"/>
        <v>0</v>
      </c>
      <c r="P106" s="69">
        <f t="shared" si="33"/>
        <v>0</v>
      </c>
      <c r="Q106" s="69">
        <f t="shared" si="33"/>
        <v>0</v>
      </c>
      <c r="R106" s="69">
        <f t="shared" si="33"/>
        <v>0</v>
      </c>
      <c r="S106" s="69">
        <f t="shared" si="33"/>
        <v>0</v>
      </c>
      <c r="T106" s="69">
        <f t="shared" si="33"/>
        <v>0</v>
      </c>
      <c r="U106" s="69">
        <f t="shared" si="33"/>
        <v>0</v>
      </c>
      <c r="V106" s="69">
        <f t="shared" si="33"/>
        <v>0</v>
      </c>
      <c r="W106" s="69">
        <f t="shared" si="33"/>
        <v>0</v>
      </c>
      <c r="X106" s="69">
        <f t="shared" si="33"/>
        <v>0</v>
      </c>
      <c r="Y106" s="69">
        <f t="shared" si="33"/>
        <v>0</v>
      </c>
      <c r="Z106" s="69">
        <f t="shared" si="33"/>
        <v>0</v>
      </c>
      <c r="AA106" s="69">
        <f t="shared" si="33"/>
        <v>0</v>
      </c>
      <c r="AB106" s="69">
        <f t="shared" si="33"/>
        <v>0</v>
      </c>
      <c r="AC106" s="69">
        <f t="shared" si="33"/>
        <v>0</v>
      </c>
      <c r="AD106" s="69">
        <f t="shared" si="33"/>
        <v>0</v>
      </c>
      <c r="AE106" s="69">
        <f t="shared" si="33"/>
        <v>0</v>
      </c>
      <c r="AF106" s="69">
        <f t="shared" si="33"/>
        <v>0</v>
      </c>
    </row>
    <row r="107" spans="1:32" s="9" customFormat="1" ht="15" x14ac:dyDescent="0.2">
      <c r="A107" s="37" t="s">
        <v>26</v>
      </c>
      <c r="B107" s="69" t="e">
        <f t="shared" ref="B107:AF107" si="34">+B43/B$128*100</f>
        <v>#DIV/0!</v>
      </c>
      <c r="C107" s="69" t="e">
        <f t="shared" si="34"/>
        <v>#DIV/0!</v>
      </c>
      <c r="D107" s="69" t="e">
        <f t="shared" si="34"/>
        <v>#DIV/0!</v>
      </c>
      <c r="E107" s="69" t="e">
        <f t="shared" si="34"/>
        <v>#DIV/0!</v>
      </c>
      <c r="F107" s="69" t="e">
        <f t="shared" si="34"/>
        <v>#DIV/0!</v>
      </c>
      <c r="G107" s="69">
        <f t="shared" si="34"/>
        <v>0</v>
      </c>
      <c r="H107" s="69">
        <f t="shared" si="34"/>
        <v>0</v>
      </c>
      <c r="I107" s="69">
        <f t="shared" si="34"/>
        <v>0</v>
      </c>
      <c r="J107" s="69">
        <f t="shared" si="34"/>
        <v>0</v>
      </c>
      <c r="K107" s="69">
        <f t="shared" si="34"/>
        <v>2.6893067260403129E-2</v>
      </c>
      <c r="L107" s="69">
        <f t="shared" si="34"/>
        <v>0</v>
      </c>
      <c r="M107" s="69">
        <f t="shared" si="34"/>
        <v>2.395142246262074E-2</v>
      </c>
      <c r="N107" s="69">
        <f t="shared" si="34"/>
        <v>2.4088286136777836E-2</v>
      </c>
      <c r="O107" s="69">
        <f t="shared" si="34"/>
        <v>2.1393632631818614E-2</v>
      </c>
      <c r="P107" s="69">
        <f t="shared" si="34"/>
        <v>0</v>
      </c>
      <c r="Q107" s="69">
        <f t="shared" si="34"/>
        <v>0</v>
      </c>
      <c r="R107" s="69">
        <f t="shared" si="34"/>
        <v>0</v>
      </c>
      <c r="S107" s="69">
        <f t="shared" si="34"/>
        <v>8.5512467687668525E-3</v>
      </c>
      <c r="T107" s="69">
        <f t="shared" si="34"/>
        <v>0</v>
      </c>
      <c r="U107" s="69">
        <f t="shared" si="34"/>
        <v>0</v>
      </c>
      <c r="V107" s="69">
        <f t="shared" si="34"/>
        <v>0</v>
      </c>
      <c r="W107" s="69">
        <f t="shared" si="34"/>
        <v>0</v>
      </c>
      <c r="X107" s="69">
        <f t="shared" si="34"/>
        <v>0</v>
      </c>
      <c r="Y107" s="69">
        <f t="shared" si="34"/>
        <v>0</v>
      </c>
      <c r="Z107" s="69">
        <f t="shared" si="34"/>
        <v>0</v>
      </c>
      <c r="AA107" s="69">
        <f t="shared" si="34"/>
        <v>0</v>
      </c>
      <c r="AB107" s="69">
        <f t="shared" si="34"/>
        <v>0</v>
      </c>
      <c r="AC107" s="69">
        <f t="shared" si="34"/>
        <v>0</v>
      </c>
      <c r="AD107" s="69">
        <f t="shared" si="34"/>
        <v>0</v>
      </c>
      <c r="AE107" s="69">
        <f t="shared" si="34"/>
        <v>0</v>
      </c>
      <c r="AF107" s="69">
        <f t="shared" si="34"/>
        <v>0</v>
      </c>
    </row>
    <row r="108" spans="1:32" s="37" customFormat="1" ht="15" x14ac:dyDescent="0.2">
      <c r="A108" s="63" t="s">
        <v>46</v>
      </c>
      <c r="B108" s="69" t="e">
        <f t="shared" ref="B108:AF108" si="35">+B44/B$128*100</f>
        <v>#DIV/0!</v>
      </c>
      <c r="C108" s="69" t="e">
        <f t="shared" si="35"/>
        <v>#DIV/0!</v>
      </c>
      <c r="D108" s="69" t="e">
        <f t="shared" si="35"/>
        <v>#DIV/0!</v>
      </c>
      <c r="E108" s="69" t="e">
        <f t="shared" si="35"/>
        <v>#DIV/0!</v>
      </c>
      <c r="F108" s="69" t="e">
        <f t="shared" si="35"/>
        <v>#DIV/0!</v>
      </c>
      <c r="G108" s="69">
        <f t="shared" si="35"/>
        <v>0</v>
      </c>
      <c r="H108" s="69">
        <f t="shared" si="35"/>
        <v>0</v>
      </c>
      <c r="I108" s="69">
        <f t="shared" si="35"/>
        <v>0</v>
      </c>
      <c r="J108" s="69">
        <f t="shared" si="35"/>
        <v>0</v>
      </c>
      <c r="K108" s="69">
        <f t="shared" si="35"/>
        <v>0.35456004400300623</v>
      </c>
      <c r="L108" s="69">
        <f t="shared" si="35"/>
        <v>0</v>
      </c>
      <c r="M108" s="69">
        <f t="shared" si="35"/>
        <v>2.7081243055381114E-3</v>
      </c>
      <c r="N108" s="69">
        <f t="shared" si="35"/>
        <v>2.092390866503575E-3</v>
      </c>
      <c r="O108" s="69">
        <f t="shared" si="35"/>
        <v>1.4296381798873171E-3</v>
      </c>
      <c r="P108" s="69">
        <f t="shared" si="35"/>
        <v>0</v>
      </c>
      <c r="Q108" s="69">
        <f t="shared" si="35"/>
        <v>0</v>
      </c>
      <c r="R108" s="69">
        <f t="shared" si="35"/>
        <v>0</v>
      </c>
      <c r="S108" s="69">
        <f t="shared" si="35"/>
        <v>0</v>
      </c>
      <c r="T108" s="69">
        <f t="shared" si="35"/>
        <v>0</v>
      </c>
      <c r="U108" s="69">
        <f t="shared" si="35"/>
        <v>0</v>
      </c>
      <c r="V108" s="69">
        <f t="shared" si="35"/>
        <v>0</v>
      </c>
      <c r="W108" s="69">
        <f t="shared" si="35"/>
        <v>0</v>
      </c>
      <c r="X108" s="69">
        <f t="shared" si="35"/>
        <v>0</v>
      </c>
      <c r="Y108" s="69">
        <f t="shared" si="35"/>
        <v>0</v>
      </c>
      <c r="Z108" s="69">
        <f t="shared" si="35"/>
        <v>0</v>
      </c>
      <c r="AA108" s="69">
        <f t="shared" si="35"/>
        <v>0</v>
      </c>
      <c r="AB108" s="69">
        <f t="shared" si="35"/>
        <v>0</v>
      </c>
      <c r="AC108" s="69">
        <f t="shared" si="35"/>
        <v>0</v>
      </c>
      <c r="AD108" s="69">
        <f t="shared" si="35"/>
        <v>0</v>
      </c>
      <c r="AE108" s="69">
        <f t="shared" si="35"/>
        <v>0</v>
      </c>
      <c r="AF108" s="69">
        <f t="shared" si="35"/>
        <v>0</v>
      </c>
    </row>
    <row r="109" spans="1:32" s="37" customFormat="1" ht="15" x14ac:dyDescent="0.2">
      <c r="A109" s="45"/>
      <c r="B109" s="19"/>
      <c r="C109" s="19"/>
      <c r="D109" s="19"/>
      <c r="E109" s="19"/>
      <c r="F109" s="19"/>
      <c r="G109" s="19"/>
      <c r="H109" s="19"/>
      <c r="I109" s="19"/>
      <c r="J109" s="41"/>
      <c r="K109" s="41"/>
      <c r="L109" s="41"/>
      <c r="M109" s="41"/>
      <c r="N109" s="41"/>
      <c r="O109" s="41"/>
      <c r="P109" s="41"/>
      <c r="Q109" s="41"/>
      <c r="R109" s="40"/>
      <c r="S109" s="50"/>
      <c r="T109" s="40"/>
      <c r="U109" s="40"/>
      <c r="V109" s="40"/>
      <c r="W109"/>
      <c r="X109"/>
      <c r="Y109"/>
      <c r="Z109"/>
      <c r="AA109"/>
      <c r="AB109"/>
      <c r="AC109"/>
      <c r="AD109"/>
      <c r="AE109"/>
      <c r="AF109"/>
    </row>
    <row r="110" spans="1:32" s="37" customFormat="1" ht="15" x14ac:dyDescent="0.2">
      <c r="A110" s="11" t="s">
        <v>7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 spans="1:32" s="37" customFormat="1" ht="15" x14ac:dyDescent="0.2">
      <c r="A111" s="43"/>
      <c r="B111" s="46"/>
      <c r="C111" s="46"/>
      <c r="D111" s="46"/>
      <c r="E111" s="4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6"/>
      <c r="T111" s="6"/>
      <c r="U111" s="6"/>
      <c r="V111" s="6"/>
      <c r="W111"/>
      <c r="X111"/>
      <c r="Y111"/>
      <c r="Z111"/>
      <c r="AA111"/>
      <c r="AB111"/>
      <c r="AC111"/>
      <c r="AD111"/>
      <c r="AE111"/>
      <c r="AF111"/>
    </row>
    <row r="112" spans="1:32" s="37" customFormat="1" ht="15" x14ac:dyDescent="0.2">
      <c r="A112" s="67" t="s">
        <v>42</v>
      </c>
      <c r="B112" s="70" t="e">
        <f t="shared" ref="B112:AF112" si="36">+B48/B$128*100</f>
        <v>#DIV/0!</v>
      </c>
      <c r="C112" s="70" t="e">
        <f t="shared" si="36"/>
        <v>#DIV/0!</v>
      </c>
      <c r="D112" s="70" t="e">
        <f t="shared" si="36"/>
        <v>#DIV/0!</v>
      </c>
      <c r="E112" s="70" t="e">
        <f t="shared" si="36"/>
        <v>#DIV/0!</v>
      </c>
      <c r="F112" s="70" t="e">
        <f t="shared" si="36"/>
        <v>#DIV/0!</v>
      </c>
      <c r="G112" s="70">
        <f t="shared" si="36"/>
        <v>1.3520029158364764</v>
      </c>
      <c r="H112" s="70">
        <f t="shared" si="36"/>
        <v>0.94969446539110935</v>
      </c>
      <c r="I112" s="70">
        <f t="shared" si="36"/>
        <v>0.91198524837720951</v>
      </c>
      <c r="J112" s="70">
        <f t="shared" si="36"/>
        <v>0.68190454305618109</v>
      </c>
      <c r="K112" s="70">
        <f t="shared" si="36"/>
        <v>1.6538828631204963</v>
      </c>
      <c r="L112" s="70">
        <f t="shared" si="36"/>
        <v>1.7419764844965997</v>
      </c>
      <c r="M112" s="70">
        <f t="shared" si="36"/>
        <v>2.6853680761424377</v>
      </c>
      <c r="N112" s="70">
        <f t="shared" si="36"/>
        <v>2.7651975015344807</v>
      </c>
      <c r="O112" s="70">
        <f t="shared" si="36"/>
        <v>2.8016125977613124</v>
      </c>
      <c r="P112" s="70">
        <f t="shared" si="36"/>
        <v>3.3864412052618205</v>
      </c>
      <c r="Q112" s="70">
        <f t="shared" si="36"/>
        <v>4.6856461007979266</v>
      </c>
      <c r="R112" s="70">
        <f t="shared" si="36"/>
        <v>3.7671927875000946</v>
      </c>
      <c r="S112" s="70">
        <f t="shared" si="36"/>
        <v>1.6515631600208329</v>
      </c>
      <c r="T112" s="70">
        <f t="shared" si="36"/>
        <v>2.6740239645008246</v>
      </c>
      <c r="U112" s="70">
        <f t="shared" si="36"/>
        <v>4.0018247855384734</v>
      </c>
      <c r="V112" s="70">
        <f t="shared" si="36"/>
        <v>4.332035174765112</v>
      </c>
      <c r="W112" s="70">
        <f t="shared" si="36"/>
        <v>8.7289765664508003</v>
      </c>
      <c r="X112" s="70">
        <f t="shared" si="36"/>
        <v>9.1629265344490527</v>
      </c>
      <c r="Y112" s="70">
        <f t="shared" si="36"/>
        <v>7.3411542346141463</v>
      </c>
      <c r="Z112" s="70">
        <f t="shared" si="36"/>
        <v>16.026464767543803</v>
      </c>
      <c r="AA112" s="70">
        <f t="shared" si="36"/>
        <v>7.7007161884244617</v>
      </c>
      <c r="AB112" s="70">
        <f t="shared" si="36"/>
        <v>4.4033784205290161</v>
      </c>
      <c r="AC112" s="70">
        <f t="shared" si="36"/>
        <v>3.6158146527763781</v>
      </c>
      <c r="AD112" s="70">
        <f t="shared" si="36"/>
        <v>3.0357910011742577</v>
      </c>
      <c r="AE112" s="70">
        <f t="shared" si="36"/>
        <v>3.9932297021146237</v>
      </c>
      <c r="AF112" s="70">
        <f t="shared" si="36"/>
        <v>4.8253773413806531</v>
      </c>
    </row>
    <row r="113" spans="1:33" s="37" customFormat="1" ht="15" x14ac:dyDescent="0.2">
      <c r="A113" s="43"/>
      <c r="B113" s="46"/>
      <c r="C113" s="46"/>
      <c r="D113" s="46"/>
      <c r="E113" s="4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/>
      <c r="S113" s="6"/>
      <c r="T113" s="6"/>
      <c r="U113" s="6"/>
      <c r="V113" s="6"/>
      <c r="W113"/>
      <c r="X113"/>
      <c r="Y113"/>
      <c r="Z113"/>
      <c r="AA113"/>
      <c r="AB113"/>
      <c r="AC113"/>
      <c r="AD113"/>
      <c r="AE113"/>
      <c r="AF113"/>
    </row>
    <row r="114" spans="1:33" s="37" customFormat="1" ht="15.75" x14ac:dyDescent="0.25">
      <c r="A114" s="34" t="s">
        <v>40</v>
      </c>
      <c r="B114" s="35" t="e">
        <f t="shared" ref="B114:AF114" si="37">+B50/B$128*100</f>
        <v>#DIV/0!</v>
      </c>
      <c r="C114" s="35" t="e">
        <f t="shared" si="37"/>
        <v>#DIV/0!</v>
      </c>
      <c r="D114" s="35" t="e">
        <f t="shared" si="37"/>
        <v>#DIV/0!</v>
      </c>
      <c r="E114" s="35" t="e">
        <f t="shared" si="37"/>
        <v>#DIV/0!</v>
      </c>
      <c r="F114" s="35" t="e">
        <f t="shared" si="37"/>
        <v>#DIV/0!</v>
      </c>
      <c r="G114" s="35">
        <f t="shared" si="37"/>
        <v>0.55543909186014673</v>
      </c>
      <c r="H114" s="35">
        <f t="shared" si="37"/>
        <v>0.57646957534910059</v>
      </c>
      <c r="I114" s="35">
        <f t="shared" si="37"/>
        <v>0.61159598406246241</v>
      </c>
      <c r="J114" s="35">
        <f t="shared" si="37"/>
        <v>0.57292816348446307</v>
      </c>
      <c r="K114" s="35">
        <f t="shared" si="37"/>
        <v>0.61282867354120296</v>
      </c>
      <c r="L114" s="35">
        <f t="shared" si="37"/>
        <v>0.60886911660675058</v>
      </c>
      <c r="M114" s="35">
        <f t="shared" si="37"/>
        <v>0.70224111247865062</v>
      </c>
      <c r="N114" s="35">
        <f t="shared" si="37"/>
        <v>0.67993746258380527</v>
      </c>
      <c r="O114" s="35">
        <f t="shared" si="37"/>
        <v>0.73717024190708236</v>
      </c>
      <c r="P114" s="35">
        <f t="shared" si="37"/>
        <v>0.74632088163894006</v>
      </c>
      <c r="Q114" s="35">
        <f t="shared" si="37"/>
        <v>0.77725406145818399</v>
      </c>
      <c r="R114" s="35">
        <f t="shared" si="37"/>
        <v>0.72886419464737073</v>
      </c>
      <c r="S114" s="35">
        <f t="shared" si="37"/>
        <v>0.68472006483729941</v>
      </c>
      <c r="T114" s="35">
        <f t="shared" si="37"/>
        <v>0.70142840701287745</v>
      </c>
      <c r="U114" s="35">
        <f t="shared" si="37"/>
        <v>0.6133778514331123</v>
      </c>
      <c r="V114" s="35">
        <f t="shared" si="37"/>
        <v>0.56540085970186749</v>
      </c>
      <c r="W114" s="35">
        <f t="shared" si="37"/>
        <v>1.3582100920394453</v>
      </c>
      <c r="X114" s="35">
        <f t="shared" si="37"/>
        <v>1.8544658195097177</v>
      </c>
      <c r="Y114" s="35">
        <f t="shared" si="37"/>
        <v>1.7015995960241022</v>
      </c>
      <c r="Z114" s="35">
        <f t="shared" si="37"/>
        <v>2.4792203498532941</v>
      </c>
      <c r="AA114" s="35">
        <f t="shared" si="37"/>
        <v>2.6485851924994854</v>
      </c>
      <c r="AB114" s="35">
        <f t="shared" si="37"/>
        <v>1.6663100681848706</v>
      </c>
      <c r="AC114" s="35">
        <f t="shared" si="37"/>
        <v>1.0298011205428699</v>
      </c>
      <c r="AD114" s="35">
        <f t="shared" si="37"/>
        <v>1.296948838630223</v>
      </c>
      <c r="AE114" s="35">
        <f t="shared" si="37"/>
        <v>0.76072191595871319</v>
      </c>
      <c r="AF114" s="35">
        <f t="shared" si="37"/>
        <v>0.50398678564656896</v>
      </c>
    </row>
    <row r="115" spans="1:33" s="37" customFormat="1" ht="15" x14ac:dyDescent="0.2">
      <c r="A115" s="18" t="s">
        <v>17</v>
      </c>
      <c r="B115" s="69" t="e">
        <f t="shared" ref="B115:AF115" si="38">+B51/B$128*100</f>
        <v>#DIV/0!</v>
      </c>
      <c r="C115" s="69" t="e">
        <f t="shared" si="38"/>
        <v>#DIV/0!</v>
      </c>
      <c r="D115" s="69" t="e">
        <f t="shared" si="38"/>
        <v>#DIV/0!</v>
      </c>
      <c r="E115" s="69" t="e">
        <f t="shared" si="38"/>
        <v>#DIV/0!</v>
      </c>
      <c r="F115" s="69" t="e">
        <f t="shared" si="38"/>
        <v>#DIV/0!</v>
      </c>
      <c r="G115" s="69">
        <f t="shared" si="38"/>
        <v>0</v>
      </c>
      <c r="H115" s="69">
        <f t="shared" si="38"/>
        <v>0</v>
      </c>
      <c r="I115" s="69">
        <f t="shared" si="38"/>
        <v>0</v>
      </c>
      <c r="J115" s="69">
        <f t="shared" si="38"/>
        <v>0</v>
      </c>
      <c r="K115" s="69">
        <f t="shared" si="38"/>
        <v>0</v>
      </c>
      <c r="L115" s="69">
        <f t="shared" si="38"/>
        <v>0</v>
      </c>
      <c r="M115" s="69">
        <f t="shared" si="38"/>
        <v>0</v>
      </c>
      <c r="N115" s="69">
        <f t="shared" si="38"/>
        <v>0</v>
      </c>
      <c r="O115" s="69">
        <f t="shared" si="38"/>
        <v>0</v>
      </c>
      <c r="P115" s="69">
        <f t="shared" si="38"/>
        <v>0</v>
      </c>
      <c r="Q115" s="69">
        <f t="shared" si="38"/>
        <v>0</v>
      </c>
      <c r="R115" s="69">
        <f t="shared" si="38"/>
        <v>0</v>
      </c>
      <c r="S115" s="69">
        <f t="shared" si="38"/>
        <v>0</v>
      </c>
      <c r="T115" s="69">
        <f t="shared" si="38"/>
        <v>0</v>
      </c>
      <c r="U115" s="69">
        <f t="shared" si="38"/>
        <v>0</v>
      </c>
      <c r="V115" s="69">
        <f t="shared" si="38"/>
        <v>0</v>
      </c>
      <c r="W115" s="69">
        <f t="shared" si="38"/>
        <v>0</v>
      </c>
      <c r="X115" s="69">
        <f t="shared" si="38"/>
        <v>0</v>
      </c>
      <c r="Y115" s="69">
        <f t="shared" si="38"/>
        <v>0</v>
      </c>
      <c r="Z115" s="69">
        <f t="shared" si="38"/>
        <v>0</v>
      </c>
      <c r="AA115" s="69">
        <f t="shared" si="38"/>
        <v>0</v>
      </c>
      <c r="AB115" s="69">
        <f t="shared" si="38"/>
        <v>0</v>
      </c>
      <c r="AC115" s="69">
        <f t="shared" si="38"/>
        <v>0</v>
      </c>
      <c r="AD115" s="69">
        <f t="shared" si="38"/>
        <v>0</v>
      </c>
      <c r="AE115" s="69">
        <f t="shared" si="38"/>
        <v>0</v>
      </c>
      <c r="AF115" s="69">
        <f t="shared" si="38"/>
        <v>0</v>
      </c>
    </row>
    <row r="116" spans="1:33" s="13" customFormat="1" ht="15" x14ac:dyDescent="0.2">
      <c r="A116" s="18" t="s">
        <v>18</v>
      </c>
      <c r="B116" s="69" t="e">
        <f t="shared" ref="B116:AF116" si="39">+B52/B$128*100</f>
        <v>#DIV/0!</v>
      </c>
      <c r="C116" s="69" t="e">
        <f t="shared" si="39"/>
        <v>#DIV/0!</v>
      </c>
      <c r="D116" s="69" t="e">
        <f t="shared" si="39"/>
        <v>#DIV/0!</v>
      </c>
      <c r="E116" s="69" t="e">
        <f t="shared" si="39"/>
        <v>#DIV/0!</v>
      </c>
      <c r="F116" s="69" t="e">
        <f t="shared" si="39"/>
        <v>#DIV/0!</v>
      </c>
      <c r="G116" s="69">
        <f t="shared" si="39"/>
        <v>0</v>
      </c>
      <c r="H116" s="69">
        <f t="shared" si="39"/>
        <v>0</v>
      </c>
      <c r="I116" s="69">
        <f t="shared" si="39"/>
        <v>0</v>
      </c>
      <c r="J116" s="69">
        <f t="shared" si="39"/>
        <v>0</v>
      </c>
      <c r="K116" s="69">
        <f t="shared" si="39"/>
        <v>0</v>
      </c>
      <c r="L116" s="69">
        <f t="shared" si="39"/>
        <v>0</v>
      </c>
      <c r="M116" s="69">
        <f t="shared" si="39"/>
        <v>0</v>
      </c>
      <c r="N116" s="69">
        <f t="shared" si="39"/>
        <v>0</v>
      </c>
      <c r="O116" s="69">
        <f t="shared" si="39"/>
        <v>0</v>
      </c>
      <c r="P116" s="69">
        <f t="shared" si="39"/>
        <v>0</v>
      </c>
      <c r="Q116" s="69">
        <f t="shared" si="39"/>
        <v>0</v>
      </c>
      <c r="R116" s="69">
        <f t="shared" si="39"/>
        <v>0</v>
      </c>
      <c r="S116" s="69">
        <f t="shared" si="39"/>
        <v>0</v>
      </c>
      <c r="T116" s="69">
        <f t="shared" si="39"/>
        <v>0</v>
      </c>
      <c r="U116" s="69">
        <f t="shared" si="39"/>
        <v>0</v>
      </c>
      <c r="V116" s="69">
        <f t="shared" si="39"/>
        <v>0</v>
      </c>
      <c r="W116" s="69">
        <f t="shared" si="39"/>
        <v>0</v>
      </c>
      <c r="X116" s="69">
        <f t="shared" si="39"/>
        <v>0</v>
      </c>
      <c r="Y116" s="69">
        <f t="shared" si="39"/>
        <v>0</v>
      </c>
      <c r="Z116" s="69">
        <f t="shared" si="39"/>
        <v>0</v>
      </c>
      <c r="AA116" s="69">
        <f t="shared" si="39"/>
        <v>0</v>
      </c>
      <c r="AB116" s="69">
        <f t="shared" si="39"/>
        <v>0</v>
      </c>
      <c r="AC116" s="69">
        <f t="shared" si="39"/>
        <v>0</v>
      </c>
      <c r="AD116" s="69">
        <f t="shared" si="39"/>
        <v>0</v>
      </c>
      <c r="AE116" s="69">
        <f t="shared" si="39"/>
        <v>0</v>
      </c>
      <c r="AF116" s="69">
        <f t="shared" si="39"/>
        <v>0</v>
      </c>
    </row>
    <row r="117" spans="1:33" s="36" customFormat="1" ht="15" x14ac:dyDescent="0.2">
      <c r="A117" s="18" t="s">
        <v>19</v>
      </c>
      <c r="B117" s="69" t="e">
        <f t="shared" ref="B117:AF117" si="40">+B53/B$128*100</f>
        <v>#DIV/0!</v>
      </c>
      <c r="C117" s="69" t="e">
        <f t="shared" si="40"/>
        <v>#DIV/0!</v>
      </c>
      <c r="D117" s="69" t="e">
        <f t="shared" si="40"/>
        <v>#DIV/0!</v>
      </c>
      <c r="E117" s="69" t="e">
        <f t="shared" si="40"/>
        <v>#DIV/0!</v>
      </c>
      <c r="F117" s="69" t="e">
        <f t="shared" si="40"/>
        <v>#DIV/0!</v>
      </c>
      <c r="G117" s="69">
        <f t="shared" si="40"/>
        <v>0</v>
      </c>
      <c r="H117" s="69">
        <f t="shared" si="40"/>
        <v>0</v>
      </c>
      <c r="I117" s="69">
        <f t="shared" si="40"/>
        <v>0</v>
      </c>
      <c r="J117" s="69">
        <f t="shared" si="40"/>
        <v>0</v>
      </c>
      <c r="K117" s="69">
        <f t="shared" si="40"/>
        <v>0</v>
      </c>
      <c r="L117" s="69">
        <f t="shared" si="40"/>
        <v>0</v>
      </c>
      <c r="M117" s="69">
        <f t="shared" si="40"/>
        <v>0</v>
      </c>
      <c r="N117" s="69">
        <f t="shared" si="40"/>
        <v>0</v>
      </c>
      <c r="O117" s="69">
        <f t="shared" si="40"/>
        <v>0</v>
      </c>
      <c r="P117" s="69">
        <f t="shared" si="40"/>
        <v>0</v>
      </c>
      <c r="Q117" s="69">
        <f t="shared" si="40"/>
        <v>0</v>
      </c>
      <c r="R117" s="69">
        <f t="shared" si="40"/>
        <v>0</v>
      </c>
      <c r="S117" s="69">
        <f t="shared" si="40"/>
        <v>0</v>
      </c>
      <c r="T117" s="69">
        <f t="shared" si="40"/>
        <v>0</v>
      </c>
      <c r="U117" s="69">
        <f t="shared" si="40"/>
        <v>0</v>
      </c>
      <c r="V117" s="69">
        <f t="shared" si="40"/>
        <v>0</v>
      </c>
      <c r="W117" s="69">
        <f t="shared" si="40"/>
        <v>0</v>
      </c>
      <c r="X117" s="69">
        <f t="shared" si="40"/>
        <v>0</v>
      </c>
      <c r="Y117" s="69">
        <f t="shared" si="40"/>
        <v>0</v>
      </c>
      <c r="Z117" s="69">
        <f t="shared" si="40"/>
        <v>0</v>
      </c>
      <c r="AA117" s="69">
        <f t="shared" si="40"/>
        <v>0</v>
      </c>
      <c r="AB117" s="69">
        <f t="shared" si="40"/>
        <v>0</v>
      </c>
      <c r="AC117" s="69">
        <f t="shared" si="40"/>
        <v>0</v>
      </c>
      <c r="AD117" s="69">
        <f t="shared" si="40"/>
        <v>0</v>
      </c>
      <c r="AE117" s="69">
        <f t="shared" si="40"/>
        <v>0</v>
      </c>
      <c r="AF117" s="69">
        <f t="shared" si="40"/>
        <v>0</v>
      </c>
    </row>
    <row r="118" spans="1:33" s="37" customFormat="1" ht="15" x14ac:dyDescent="0.2">
      <c r="A118" s="18" t="s">
        <v>20</v>
      </c>
      <c r="B118" s="69" t="e">
        <f t="shared" ref="B118:AF118" si="41">+B54/B$128*100</f>
        <v>#DIV/0!</v>
      </c>
      <c r="C118" s="69" t="e">
        <f t="shared" si="41"/>
        <v>#DIV/0!</v>
      </c>
      <c r="D118" s="69" t="e">
        <f t="shared" si="41"/>
        <v>#DIV/0!</v>
      </c>
      <c r="E118" s="69" t="e">
        <f t="shared" si="41"/>
        <v>#DIV/0!</v>
      </c>
      <c r="F118" s="69" t="e">
        <f t="shared" si="41"/>
        <v>#DIV/0!</v>
      </c>
      <c r="G118" s="69">
        <f t="shared" si="41"/>
        <v>0</v>
      </c>
      <c r="H118" s="69">
        <f t="shared" si="41"/>
        <v>0</v>
      </c>
      <c r="I118" s="69">
        <f t="shared" si="41"/>
        <v>0</v>
      </c>
      <c r="J118" s="69">
        <f t="shared" si="41"/>
        <v>0</v>
      </c>
      <c r="K118" s="69">
        <f t="shared" si="41"/>
        <v>0</v>
      </c>
      <c r="L118" s="69">
        <f t="shared" si="41"/>
        <v>0</v>
      </c>
      <c r="M118" s="69">
        <f t="shared" si="41"/>
        <v>0</v>
      </c>
      <c r="N118" s="69">
        <f t="shared" si="41"/>
        <v>0</v>
      </c>
      <c r="O118" s="69">
        <f t="shared" si="41"/>
        <v>0</v>
      </c>
      <c r="P118" s="69">
        <f t="shared" si="41"/>
        <v>0</v>
      </c>
      <c r="Q118" s="69">
        <f t="shared" si="41"/>
        <v>0</v>
      </c>
      <c r="R118" s="69">
        <f t="shared" si="41"/>
        <v>0</v>
      </c>
      <c r="S118" s="69">
        <f t="shared" si="41"/>
        <v>0</v>
      </c>
      <c r="T118" s="69">
        <f t="shared" si="41"/>
        <v>0</v>
      </c>
      <c r="U118" s="69">
        <f t="shared" si="41"/>
        <v>0</v>
      </c>
      <c r="V118" s="69">
        <f t="shared" si="41"/>
        <v>0</v>
      </c>
      <c r="W118" s="69">
        <f t="shared" si="41"/>
        <v>0</v>
      </c>
      <c r="X118" s="69">
        <f t="shared" si="41"/>
        <v>0</v>
      </c>
      <c r="Y118" s="69">
        <f t="shared" si="41"/>
        <v>0</v>
      </c>
      <c r="Z118" s="69">
        <f t="shared" si="41"/>
        <v>0</v>
      </c>
      <c r="AA118" s="69">
        <f t="shared" si="41"/>
        <v>0</v>
      </c>
      <c r="AB118" s="69">
        <f t="shared" si="41"/>
        <v>0</v>
      </c>
      <c r="AC118" s="69">
        <f t="shared" si="41"/>
        <v>0</v>
      </c>
      <c r="AD118" s="69">
        <f t="shared" si="41"/>
        <v>0</v>
      </c>
      <c r="AE118" s="69">
        <f t="shared" si="41"/>
        <v>0</v>
      </c>
      <c r="AF118" s="69">
        <f t="shared" si="41"/>
        <v>0</v>
      </c>
    </row>
    <row r="119" spans="1:33" s="37" customFormat="1" ht="15" x14ac:dyDescent="0.2">
      <c r="A119" s="18" t="s">
        <v>21</v>
      </c>
      <c r="B119" s="69" t="e">
        <f>+#REF!/B$128*100</f>
        <v>#REF!</v>
      </c>
      <c r="C119" s="69" t="e">
        <f>+#REF!/C$128*100</f>
        <v>#REF!</v>
      </c>
      <c r="D119" s="69" t="e">
        <f>+#REF!/D$128*100</f>
        <v>#REF!</v>
      </c>
      <c r="E119" s="69" t="e">
        <f>+#REF!/E$128*100</f>
        <v>#REF!</v>
      </c>
      <c r="F119" s="69" t="e">
        <f>+#REF!/F$128*100</f>
        <v>#REF!</v>
      </c>
      <c r="G119" s="69" t="e">
        <f>+#REF!/G$128*100</f>
        <v>#REF!</v>
      </c>
      <c r="H119" s="69" t="e">
        <f>+#REF!/H$128*100</f>
        <v>#REF!</v>
      </c>
      <c r="I119" s="69" t="e">
        <f>+#REF!/I$128*100</f>
        <v>#REF!</v>
      </c>
      <c r="J119" s="69" t="e">
        <f>+#REF!/J$128*100</f>
        <v>#REF!</v>
      </c>
      <c r="K119" s="69" t="e">
        <f>+#REF!/K$128*100</f>
        <v>#REF!</v>
      </c>
      <c r="L119" s="69" t="e">
        <f>+#REF!/L$128*100</f>
        <v>#REF!</v>
      </c>
      <c r="M119" s="69" t="e">
        <f>+#REF!/M$128*100</f>
        <v>#REF!</v>
      </c>
      <c r="N119" s="69" t="e">
        <f>+#REF!/N$128*100</f>
        <v>#REF!</v>
      </c>
      <c r="O119" s="69" t="e">
        <f>+#REF!/O$128*100</f>
        <v>#REF!</v>
      </c>
      <c r="P119" s="69" t="e">
        <f>+#REF!/P$128*100</f>
        <v>#REF!</v>
      </c>
      <c r="Q119" s="69" t="e">
        <f>+#REF!/Q$128*100</f>
        <v>#REF!</v>
      </c>
      <c r="R119" s="69" t="e">
        <f>+#REF!/R$128*100</f>
        <v>#REF!</v>
      </c>
      <c r="S119" s="69" t="e">
        <f>+#REF!/S$128*100</f>
        <v>#REF!</v>
      </c>
      <c r="T119" s="69" t="e">
        <f>+#REF!/T$128*100</f>
        <v>#REF!</v>
      </c>
      <c r="U119" s="69" t="e">
        <f>+#REF!/U$128*100</f>
        <v>#REF!</v>
      </c>
      <c r="V119" s="69" t="e">
        <f>+#REF!/V$128*100</f>
        <v>#REF!</v>
      </c>
      <c r="W119" s="69" t="e">
        <f>+#REF!/W$128*100</f>
        <v>#REF!</v>
      </c>
      <c r="X119" s="69" t="e">
        <f>+#REF!/X$128*100</f>
        <v>#REF!</v>
      </c>
      <c r="Y119" s="69" t="e">
        <f>+#REF!/Y$128*100</f>
        <v>#REF!</v>
      </c>
      <c r="Z119" s="69" t="e">
        <f>+#REF!/Z$128*100</f>
        <v>#REF!</v>
      </c>
      <c r="AA119" s="69" t="e">
        <f>+#REF!/AA$128*100</f>
        <v>#REF!</v>
      </c>
      <c r="AB119" s="69" t="e">
        <f>+#REF!/AB$128*100</f>
        <v>#REF!</v>
      </c>
      <c r="AC119" s="69" t="e">
        <f>+#REF!/AC$128*100</f>
        <v>#REF!</v>
      </c>
      <c r="AD119" s="69" t="e">
        <f>+#REF!/AD$128*100</f>
        <v>#REF!</v>
      </c>
      <c r="AE119" s="69" t="e">
        <f>+#REF!/AE$128*100</f>
        <v>#REF!</v>
      </c>
      <c r="AF119" s="69" t="e">
        <f>+#REF!/AF$128*100</f>
        <v>#REF!</v>
      </c>
    </row>
    <row r="120" spans="1:33" s="13" customFormat="1" ht="15" x14ac:dyDescent="0.2">
      <c r="A120" s="18" t="s">
        <v>27</v>
      </c>
      <c r="B120" s="69" t="e">
        <f t="shared" ref="B120:AF120" si="42">+B55/B$128*100</f>
        <v>#DIV/0!</v>
      </c>
      <c r="C120" s="69" t="e">
        <f t="shared" si="42"/>
        <v>#DIV/0!</v>
      </c>
      <c r="D120" s="69" t="e">
        <f t="shared" si="42"/>
        <v>#DIV/0!</v>
      </c>
      <c r="E120" s="69" t="e">
        <f t="shared" si="42"/>
        <v>#DIV/0!</v>
      </c>
      <c r="F120" s="69" t="e">
        <f t="shared" si="42"/>
        <v>#DIV/0!</v>
      </c>
      <c r="G120" s="69">
        <f t="shared" si="42"/>
        <v>0</v>
      </c>
      <c r="H120" s="69">
        <f t="shared" si="42"/>
        <v>0</v>
      </c>
      <c r="I120" s="69">
        <f t="shared" si="42"/>
        <v>0</v>
      </c>
      <c r="J120" s="69">
        <f t="shared" si="42"/>
        <v>0</v>
      </c>
      <c r="K120" s="69">
        <f t="shared" si="42"/>
        <v>0.49001347978984916</v>
      </c>
      <c r="L120" s="69">
        <f t="shared" si="42"/>
        <v>0</v>
      </c>
      <c r="M120" s="69">
        <f t="shared" si="42"/>
        <v>0.607482322099129</v>
      </c>
      <c r="N120" s="69">
        <f t="shared" si="42"/>
        <v>0.56468666791604727</v>
      </c>
      <c r="O120" s="69">
        <f t="shared" si="42"/>
        <v>0.60947626628337814</v>
      </c>
      <c r="P120" s="69">
        <f t="shared" si="42"/>
        <v>0</v>
      </c>
      <c r="Q120" s="69">
        <f t="shared" si="42"/>
        <v>0</v>
      </c>
      <c r="R120" s="69">
        <f t="shared" si="42"/>
        <v>0</v>
      </c>
      <c r="S120" s="69">
        <f t="shared" si="42"/>
        <v>0.54233250722955528</v>
      </c>
      <c r="T120" s="69">
        <f t="shared" si="42"/>
        <v>0</v>
      </c>
      <c r="U120" s="69">
        <f t="shared" si="42"/>
        <v>0</v>
      </c>
      <c r="V120" s="69">
        <f t="shared" si="42"/>
        <v>0</v>
      </c>
      <c r="W120" s="69">
        <f t="shared" si="42"/>
        <v>0</v>
      </c>
      <c r="X120" s="69">
        <f t="shared" si="42"/>
        <v>0</v>
      </c>
      <c r="Y120" s="69">
        <f t="shared" si="42"/>
        <v>0</v>
      </c>
      <c r="Z120" s="69">
        <f t="shared" si="42"/>
        <v>0</v>
      </c>
      <c r="AA120" s="69">
        <f t="shared" si="42"/>
        <v>0</v>
      </c>
      <c r="AB120" s="69">
        <f t="shared" si="42"/>
        <v>0</v>
      </c>
      <c r="AC120" s="69">
        <f t="shared" si="42"/>
        <v>0</v>
      </c>
      <c r="AD120" s="69">
        <f t="shared" si="42"/>
        <v>0</v>
      </c>
      <c r="AE120" s="69">
        <f t="shared" si="42"/>
        <v>0</v>
      </c>
      <c r="AF120" s="69">
        <f t="shared" si="42"/>
        <v>0</v>
      </c>
    </row>
    <row r="121" spans="1:33" s="13" customFormat="1" ht="15" x14ac:dyDescent="0.2">
      <c r="A121" s="18" t="s">
        <v>28</v>
      </c>
      <c r="B121" s="69" t="e">
        <f t="shared" ref="B121:AF121" si="43">+B56/B$128*100</f>
        <v>#DIV/0!</v>
      </c>
      <c r="C121" s="69" t="e">
        <f t="shared" si="43"/>
        <v>#DIV/0!</v>
      </c>
      <c r="D121" s="69" t="e">
        <f t="shared" si="43"/>
        <v>#DIV/0!</v>
      </c>
      <c r="E121" s="69" t="e">
        <f t="shared" si="43"/>
        <v>#DIV/0!</v>
      </c>
      <c r="F121" s="69" t="e">
        <f t="shared" si="43"/>
        <v>#DIV/0!</v>
      </c>
      <c r="G121" s="69">
        <f t="shared" si="43"/>
        <v>0</v>
      </c>
      <c r="H121" s="69">
        <f t="shared" si="43"/>
        <v>0</v>
      </c>
      <c r="I121" s="69">
        <f t="shared" si="43"/>
        <v>0</v>
      </c>
      <c r="J121" s="69">
        <f t="shared" si="43"/>
        <v>0</v>
      </c>
      <c r="K121" s="69">
        <f t="shared" si="43"/>
        <v>0.11465791340557153</v>
      </c>
      <c r="L121" s="69">
        <f t="shared" si="43"/>
        <v>0</v>
      </c>
      <c r="M121" s="69">
        <f t="shared" si="43"/>
        <v>8.837802384407209E-2</v>
      </c>
      <c r="N121" s="69">
        <f t="shared" si="43"/>
        <v>0.10745382006698802</v>
      </c>
      <c r="O121" s="69">
        <f t="shared" si="43"/>
        <v>0.12213018691311249</v>
      </c>
      <c r="P121" s="69">
        <f t="shared" si="43"/>
        <v>0</v>
      </c>
      <c r="Q121" s="69">
        <f t="shared" si="43"/>
        <v>0</v>
      </c>
      <c r="R121" s="69">
        <f t="shared" si="43"/>
        <v>0</v>
      </c>
      <c r="S121" s="69">
        <f t="shared" si="43"/>
        <v>0.12955709462894524</v>
      </c>
      <c r="T121" s="69">
        <f t="shared" si="43"/>
        <v>0</v>
      </c>
      <c r="U121" s="69">
        <f t="shared" si="43"/>
        <v>0</v>
      </c>
      <c r="V121" s="69">
        <f t="shared" si="43"/>
        <v>0</v>
      </c>
      <c r="W121" s="69">
        <f t="shared" si="43"/>
        <v>0</v>
      </c>
      <c r="X121" s="69">
        <f t="shared" si="43"/>
        <v>0</v>
      </c>
      <c r="Y121" s="69">
        <f t="shared" si="43"/>
        <v>0</v>
      </c>
      <c r="Z121" s="69">
        <f t="shared" si="43"/>
        <v>0</v>
      </c>
      <c r="AA121" s="69">
        <f t="shared" si="43"/>
        <v>0</v>
      </c>
      <c r="AB121" s="69">
        <f t="shared" si="43"/>
        <v>0</v>
      </c>
      <c r="AC121" s="69">
        <f t="shared" si="43"/>
        <v>0</v>
      </c>
      <c r="AD121" s="69">
        <f t="shared" si="43"/>
        <v>0</v>
      </c>
      <c r="AE121" s="69">
        <f t="shared" si="43"/>
        <v>0</v>
      </c>
      <c r="AF121" s="69">
        <f t="shared" si="43"/>
        <v>0</v>
      </c>
    </row>
    <row r="122" spans="1:33" s="9" customFormat="1" ht="15" x14ac:dyDescent="0.2">
      <c r="A122" s="18" t="s">
        <v>29</v>
      </c>
      <c r="B122" s="69" t="e">
        <f t="shared" ref="B122:AF122" si="44">+B57/B$128*100</f>
        <v>#DIV/0!</v>
      </c>
      <c r="C122" s="69" t="e">
        <f t="shared" si="44"/>
        <v>#DIV/0!</v>
      </c>
      <c r="D122" s="69" t="e">
        <f t="shared" si="44"/>
        <v>#DIV/0!</v>
      </c>
      <c r="E122" s="69" t="e">
        <f t="shared" si="44"/>
        <v>#DIV/0!</v>
      </c>
      <c r="F122" s="69" t="e">
        <f t="shared" si="44"/>
        <v>#DIV/0!</v>
      </c>
      <c r="G122" s="69">
        <f t="shared" si="44"/>
        <v>0</v>
      </c>
      <c r="H122" s="69">
        <f t="shared" si="44"/>
        <v>0</v>
      </c>
      <c r="I122" s="69">
        <f t="shared" si="44"/>
        <v>0</v>
      </c>
      <c r="J122" s="69">
        <f t="shared" si="44"/>
        <v>0</v>
      </c>
      <c r="K122" s="69">
        <f t="shared" si="44"/>
        <v>8.1572803457822061E-3</v>
      </c>
      <c r="L122" s="69">
        <f t="shared" si="44"/>
        <v>0</v>
      </c>
      <c r="M122" s="69">
        <f t="shared" si="44"/>
        <v>6.3807665354494855E-3</v>
      </c>
      <c r="N122" s="69">
        <f t="shared" si="44"/>
        <v>7.796974600770076E-3</v>
      </c>
      <c r="O122" s="69">
        <f t="shared" si="44"/>
        <v>5.56378871059176E-3</v>
      </c>
      <c r="P122" s="69">
        <f t="shared" si="44"/>
        <v>0</v>
      </c>
      <c r="Q122" s="69">
        <f t="shared" si="44"/>
        <v>0</v>
      </c>
      <c r="R122" s="69">
        <f t="shared" si="44"/>
        <v>0</v>
      </c>
      <c r="S122" s="69">
        <f t="shared" si="44"/>
        <v>1.1989200446376833E-2</v>
      </c>
      <c r="T122" s="69">
        <f t="shared" si="44"/>
        <v>0</v>
      </c>
      <c r="U122" s="69">
        <f t="shared" si="44"/>
        <v>0</v>
      </c>
      <c r="V122" s="69">
        <f t="shared" si="44"/>
        <v>0</v>
      </c>
      <c r="W122" s="69">
        <f t="shared" si="44"/>
        <v>0</v>
      </c>
      <c r="X122" s="69">
        <f t="shared" si="44"/>
        <v>0</v>
      </c>
      <c r="Y122" s="69">
        <f t="shared" si="44"/>
        <v>0</v>
      </c>
      <c r="Z122" s="69">
        <f t="shared" si="44"/>
        <v>0</v>
      </c>
      <c r="AA122" s="69">
        <f t="shared" si="44"/>
        <v>0</v>
      </c>
      <c r="AB122" s="69">
        <f t="shared" si="44"/>
        <v>0</v>
      </c>
      <c r="AC122" s="69">
        <f t="shared" si="44"/>
        <v>0</v>
      </c>
      <c r="AD122" s="69">
        <f t="shared" si="44"/>
        <v>0</v>
      </c>
      <c r="AE122" s="69">
        <f t="shared" si="44"/>
        <v>0</v>
      </c>
      <c r="AF122" s="69">
        <f t="shared" si="44"/>
        <v>0</v>
      </c>
      <c r="AG122" s="20"/>
    </row>
    <row r="123" spans="1:33" s="20" customFormat="1" ht="15" x14ac:dyDescent="0.2">
      <c r="A123" s="18" t="s">
        <v>36</v>
      </c>
      <c r="B123" s="69" t="e">
        <f t="shared" ref="B123:AF123" si="45">+B58/B$128*100</f>
        <v>#DIV/0!</v>
      </c>
      <c r="C123" s="69" t="e">
        <f t="shared" si="45"/>
        <v>#DIV/0!</v>
      </c>
      <c r="D123" s="69" t="e">
        <f t="shared" si="45"/>
        <v>#DIV/0!</v>
      </c>
      <c r="E123" s="69" t="e">
        <f t="shared" si="45"/>
        <v>#DIV/0!</v>
      </c>
      <c r="F123" s="69" t="e">
        <f t="shared" si="45"/>
        <v>#DIV/0!</v>
      </c>
      <c r="G123" s="69">
        <f t="shared" si="45"/>
        <v>0</v>
      </c>
      <c r="H123" s="69">
        <f t="shared" si="45"/>
        <v>0</v>
      </c>
      <c r="I123" s="69">
        <f t="shared" si="45"/>
        <v>0</v>
      </c>
      <c r="J123" s="69">
        <f t="shared" si="45"/>
        <v>0</v>
      </c>
      <c r="K123" s="69">
        <f t="shared" si="45"/>
        <v>0</v>
      </c>
      <c r="L123" s="69">
        <f t="shared" si="45"/>
        <v>0</v>
      </c>
      <c r="M123" s="69">
        <f t="shared" si="45"/>
        <v>0</v>
      </c>
      <c r="N123" s="69">
        <f t="shared" si="45"/>
        <v>0</v>
      </c>
      <c r="O123" s="69">
        <f t="shared" si="45"/>
        <v>0</v>
      </c>
      <c r="P123" s="69">
        <f t="shared" si="45"/>
        <v>0</v>
      </c>
      <c r="Q123" s="69">
        <f t="shared" si="45"/>
        <v>0</v>
      </c>
      <c r="R123" s="69">
        <f t="shared" si="45"/>
        <v>0</v>
      </c>
      <c r="S123" s="69">
        <f t="shared" si="45"/>
        <v>0</v>
      </c>
      <c r="T123" s="69">
        <f t="shared" si="45"/>
        <v>0.70142840701287745</v>
      </c>
      <c r="U123" s="69">
        <f t="shared" si="45"/>
        <v>0.6133778514331123</v>
      </c>
      <c r="V123" s="69">
        <f t="shared" si="45"/>
        <v>0.56540085970186749</v>
      </c>
      <c r="W123" s="69">
        <f t="shared" si="45"/>
        <v>1.3582100920394453</v>
      </c>
      <c r="X123" s="69">
        <f t="shared" si="45"/>
        <v>1.8544658195097177</v>
      </c>
      <c r="Y123" s="69">
        <f t="shared" si="45"/>
        <v>1.7015995960241022</v>
      </c>
      <c r="Z123" s="69">
        <f t="shared" si="45"/>
        <v>2.4792203498532941</v>
      </c>
      <c r="AA123" s="69">
        <f t="shared" si="45"/>
        <v>2.6485851924994854</v>
      </c>
      <c r="AB123" s="69">
        <f t="shared" si="45"/>
        <v>1.6663100681848706</v>
      </c>
      <c r="AC123" s="69">
        <f t="shared" si="45"/>
        <v>1.0298011205428699</v>
      </c>
      <c r="AD123" s="69">
        <f t="shared" si="45"/>
        <v>1.296948838630223</v>
      </c>
      <c r="AE123" s="69">
        <f t="shared" si="45"/>
        <v>0.76072191595871319</v>
      </c>
      <c r="AF123" s="69">
        <f t="shared" si="45"/>
        <v>0.50398678564656896</v>
      </c>
    </row>
    <row r="124" spans="1:33" ht="15" x14ac:dyDescent="0.2">
      <c r="A124" s="18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</row>
    <row r="125" spans="1:33" ht="15.75" x14ac:dyDescent="0.25">
      <c r="A125" s="34" t="s">
        <v>41</v>
      </c>
      <c r="B125" s="35" t="e">
        <f t="shared" ref="B125:AF125" si="46">+B60/B$128*100</f>
        <v>#DIV/0!</v>
      </c>
      <c r="C125" s="35" t="e">
        <f t="shared" si="46"/>
        <v>#DIV/0!</v>
      </c>
      <c r="D125" s="35" t="e">
        <f t="shared" si="46"/>
        <v>#DIV/0!</v>
      </c>
      <c r="E125" s="35" t="e">
        <f t="shared" si="46"/>
        <v>#DIV/0!</v>
      </c>
      <c r="F125" s="35" t="e">
        <f t="shared" si="46"/>
        <v>#DIV/0!</v>
      </c>
      <c r="G125" s="35">
        <f t="shared" si="46"/>
        <v>0.79656382397632952</v>
      </c>
      <c r="H125" s="35">
        <f t="shared" si="46"/>
        <v>0.37322489004200876</v>
      </c>
      <c r="I125" s="35">
        <f t="shared" si="46"/>
        <v>0.30038926431474688</v>
      </c>
      <c r="J125" s="35">
        <f t="shared" si="46"/>
        <v>0.10897637957171805</v>
      </c>
      <c r="K125" s="35">
        <f t="shared" si="46"/>
        <v>1.0410541895792931</v>
      </c>
      <c r="L125" s="35">
        <f t="shared" si="46"/>
        <v>1.1331073678898491</v>
      </c>
      <c r="M125" s="35">
        <f t="shared" si="46"/>
        <v>1.9831269636637869</v>
      </c>
      <c r="N125" s="35">
        <f t="shared" si="46"/>
        <v>2.085260038950675</v>
      </c>
      <c r="O125" s="35">
        <f t="shared" si="46"/>
        <v>2.0644423558542306</v>
      </c>
      <c r="P125" s="35">
        <f t="shared" si="46"/>
        <v>2.6401203236228805</v>
      </c>
      <c r="Q125" s="35">
        <f t="shared" si="46"/>
        <v>3.9083920393397427</v>
      </c>
      <c r="R125" s="35">
        <f t="shared" si="46"/>
        <v>3.0383285928527246</v>
      </c>
      <c r="S125" s="35">
        <f t="shared" si="46"/>
        <v>0.96684309518353384</v>
      </c>
      <c r="T125" s="35">
        <f t="shared" si="46"/>
        <v>1.9725955574879475</v>
      </c>
      <c r="U125" s="35">
        <f t="shared" si="46"/>
        <v>3.3884469341053616</v>
      </c>
      <c r="V125" s="35">
        <f t="shared" si="46"/>
        <v>3.7666343150632451</v>
      </c>
      <c r="W125" s="35">
        <f t="shared" si="46"/>
        <v>7.3707664744113544</v>
      </c>
      <c r="X125" s="35">
        <f t="shared" si="46"/>
        <v>7.3084607149393372</v>
      </c>
      <c r="Y125" s="35">
        <f t="shared" si="46"/>
        <v>5.6395546385900452</v>
      </c>
      <c r="Z125" s="35">
        <f t="shared" si="46"/>
        <v>13.547244417690507</v>
      </c>
      <c r="AA125" s="35">
        <f t="shared" si="46"/>
        <v>5.0521309959249745</v>
      </c>
      <c r="AB125" s="35">
        <f t="shared" si="46"/>
        <v>2.7370683523441461</v>
      </c>
      <c r="AC125" s="35">
        <f t="shared" si="46"/>
        <v>2.5860135322335078</v>
      </c>
      <c r="AD125" s="35">
        <f t="shared" si="46"/>
        <v>1.7388421625440347</v>
      </c>
      <c r="AE125" s="35">
        <f t="shared" si="46"/>
        <v>3.2325077861559102</v>
      </c>
      <c r="AF125" s="35">
        <f t="shared" si="46"/>
        <v>4.3213905557340846</v>
      </c>
    </row>
    <row r="128" spans="1:33" ht="15" x14ac:dyDescent="0.2">
      <c r="A128" s="13" t="s">
        <v>45</v>
      </c>
      <c r="B128" s="71"/>
      <c r="C128" s="71"/>
      <c r="D128" s="71"/>
      <c r="E128" s="71"/>
      <c r="F128" s="71"/>
      <c r="G128" s="41">
        <v>2194.3000013165802</v>
      </c>
      <c r="H128" s="41">
        <v>2323.8000013942801</v>
      </c>
      <c r="I128" s="41">
        <v>2440.5000014643006</v>
      </c>
      <c r="J128" s="41">
        <v>2524.4002515146408</v>
      </c>
      <c r="K128" s="41">
        <v>2623.5000015741007</v>
      </c>
      <c r="L128" s="41">
        <v>2832.300001699381</v>
      </c>
      <c r="M128" s="41">
        <v>2965.2999988138795</v>
      </c>
      <c r="N128" s="41">
        <v>3159.3174611043473</v>
      </c>
      <c r="O128" s="41">
        <v>3605.8060511550643</v>
      </c>
      <c r="P128" s="41">
        <v>4164.6965487208563</v>
      </c>
      <c r="Q128" s="41">
        <v>4710.3002500000002</v>
      </c>
      <c r="R128" s="41">
        <v>5820.7002499999999</v>
      </c>
      <c r="S128" s="41">
        <v>7354.1002500000004</v>
      </c>
      <c r="T128" s="41">
        <v>7819.9</v>
      </c>
      <c r="U128" s="41">
        <v>8659.0997499999994</v>
      </c>
      <c r="V128" s="41">
        <v>8934.8997499999987</v>
      </c>
      <c r="W128" s="41">
        <v>8593.0005000000001</v>
      </c>
      <c r="X128" s="41">
        <v>8497.9727500000008</v>
      </c>
      <c r="Y128" s="41">
        <v>8765.8695000000007</v>
      </c>
      <c r="Z128" s="41">
        <v>9154.2085000000006</v>
      </c>
      <c r="AA128" s="41">
        <v>9500.9214999999986</v>
      </c>
      <c r="AB128" s="41">
        <v>18300.675595880002</v>
      </c>
      <c r="AC128" s="41">
        <v>19790.228999999999</v>
      </c>
      <c r="AD128" s="41">
        <v>20949.400000000001</v>
      </c>
      <c r="AE128" s="41">
        <v>21861.076499999999</v>
      </c>
      <c r="AF128" s="41">
        <v>32992.134860576378</v>
      </c>
    </row>
  </sheetData>
  <printOptions horizontalCentered="1" verticalCentered="1"/>
  <pageMargins left="0.39370078740157483" right="0.39370078740157483" top="0.39370078740157483" bottom="0.39370078740157483" header="0.31496062992125984" footer="0.31496062992125984"/>
  <pageSetup paperSize="5" scale="1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7" sqref="D27"/>
    </sheetView>
  </sheetViews>
  <sheetFormatPr defaultColWidth="11.5703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Ingresos</vt:lpstr>
      <vt:lpstr>Gastos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A. Lopez</dc:creator>
  <cp:lastModifiedBy>Chaves Gurgel, Lucas</cp:lastModifiedBy>
  <cp:lastPrinted>2014-01-07T20:16:18Z</cp:lastPrinted>
  <dcterms:created xsi:type="dcterms:W3CDTF">2012-12-20T18:32:49Z</dcterms:created>
  <dcterms:modified xsi:type="dcterms:W3CDTF">2026-03-26T16:22:06Z</dcterms:modified>
</cp:coreProperties>
</file>